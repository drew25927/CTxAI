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할 일 (전체)" sheetId="1" state="visible" r:id="rId3"/>
    <sheet name="② 아트" sheetId="2" state="visible" r:id="rId4"/>
    <sheet name="③ 사운드" sheetId="3" state="visible" r:id="rId5"/>
    <sheet name="④ 기획" sheetId="4" state="visible" r:id="rId6"/>
    <sheet name="⑤ 개발" sheetId="5" state="visible" r:id="rId7"/>
    <sheet name="⑥ 결정 (답할 것 없음)" sheetId="6" state="visible" r:id="rId8"/>
    <sheet name="⑦ 사운드 제작법" sheetId="7" state="visible" r:id="rId9"/>
    <sheet name="⑧ 규격 (바뀌지 않음)" sheetId="8" state="visible" r:id="rId10"/>
    <sheet name="⑨ 일정표" sheetId="9" state="visible" r:id="rId11"/>
    <sheet name="⑩ 미정 값" sheetId="10" state="visible" r:id="rId12"/>
  </sheets>
  <definedNames>
    <definedName function="false" hidden="true" localSheetId="0" name="_xlnm._FilterDatabase" vbProcedure="false">'① 할 일 (전체)'!$A$1:$G$66</definedName>
    <definedName function="false" hidden="true" localSheetId="1" name="_xlnm._FilterDatabase" vbProcedure="false">'② 아트'!$A$1:$F$25</definedName>
    <definedName function="false" hidden="true" localSheetId="2" name="_xlnm._FilterDatabase" vbProcedure="false">'③ 사운드'!$A$1:$F$24</definedName>
    <definedName function="false" hidden="true" localSheetId="3" name="_xlnm._FilterDatabase" vbProcedure="false">'④ 기획'!$A$1:$F$27</definedName>
    <definedName function="false" hidden="true" localSheetId="4" name="_xlnm._FilterDatabase" vbProcedure="false">'⑤ 개발'!$A$1:$F$27</definedName>
    <definedName function="false" hidden="true" localSheetId="7" name="_xlnm._FilterDatabase" vbProcedure="false">'⑧ 규격 (바뀌지 않음)'!$A$1:$D$49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<sst xmlns="http://schemas.openxmlformats.org/spreadsheetml/2006/main" count="1447" uniqueCount="521">
  <si>
    <t xml:space="preserve">마감</t>
  </si>
  <si>
    <t xml:space="preserve">요일</t>
  </si>
  <si>
    <t xml:space="preserve">역할</t>
  </si>
  <si>
    <t xml:space="preserve">구분</t>
  </si>
  <si>
    <t xml:space="preserve">해야 할 일</t>
  </si>
  <si>
    <r>
      <rPr>
        <b val="true"/>
        <sz val="10"/>
        <color rgb="FFFFFFFF"/>
        <rFont val="Noto Sans CJK SC"/>
        <family val="2"/>
      </rPr>
      <t xml:space="preserve">완료 조건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비고</t>
    </r>
  </si>
  <si>
    <t xml:space="preserve">상태</t>
  </si>
  <si>
    <t xml:space="preserve">요약</t>
  </si>
  <si>
    <t xml:space="preserve">8/6</t>
  </si>
  <si>
    <t xml:space="preserve">목</t>
  </si>
  <si>
    <t xml:space="preserve">개발</t>
  </si>
  <si>
    <t xml:space="preserve">제작</t>
  </si>
  <si>
    <r>
      <rPr>
        <sz val="10"/>
        <rFont val="Arial"/>
        <family val="0"/>
        <charset val="1"/>
      </rPr>
      <t xml:space="preserve">manifest.json </t>
    </r>
    <r>
      <rPr>
        <sz val="10"/>
        <rFont val="Noto Sans CJK SC"/>
        <family val="2"/>
      </rPr>
      <t xml:space="preserve">빈 양식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대사 스프레드시트 양식 배포</t>
    </r>
  </si>
  <si>
    <t xml:space="preserve">기획팀에 전달</t>
  </si>
  <si>
    <t xml:space="preserve">대기</t>
  </si>
  <si>
    <t xml:space="preserve">남은 일</t>
  </si>
  <si>
    <r>
      <rPr>
        <sz val="10"/>
        <rFont val="Noto Sans CJK SC"/>
        <family val="2"/>
      </rPr>
      <t xml:space="preserve">명명 규칙 </t>
    </r>
    <r>
      <rPr>
        <sz val="10"/>
        <rFont val="Arial"/>
        <family val="0"/>
        <charset val="1"/>
      </rPr>
      <t xml:space="preserve">+ GLB </t>
    </r>
    <r>
      <rPr>
        <sz val="10"/>
        <rFont val="Noto Sans CJK SC"/>
        <family val="2"/>
      </rPr>
      <t xml:space="preserve">규약 배포</t>
    </r>
  </si>
  <si>
    <t xml:space="preserve">「규격」 편 참조</t>
  </si>
  <si>
    <t xml:space="preserve">진행 중</t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</si>
  <si>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문구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초안 작성해 기획에 전달</t>
    </r>
  </si>
  <si>
    <t xml:space="preserve">기획이 백지에서 쓰지 않도록</t>
  </si>
  <si>
    <t xml:space="preserve">완료</t>
  </si>
  <si>
    <t xml:space="preserve">사운드</t>
  </si>
  <si>
    <t xml:space="preserve">확인</t>
  </si>
  <si>
    <t xml:space="preserve">「사운드 제작법」 편 읽기</t>
  </si>
  <si>
    <r>
      <rPr>
        <sz val="10"/>
        <rFont val="Arial"/>
        <family val="0"/>
        <charset val="1"/>
      </rPr>
      <t xml:space="preserve">ElevenLabs </t>
    </r>
    <r>
      <rPr>
        <sz val="10"/>
        <rFont val="Noto Sans CJK SC"/>
        <family val="2"/>
      </rPr>
      <t xml:space="preserve">어떤 기능으로 무엇을 만드는지 전부 적혀 있습니다</t>
    </r>
  </si>
  <si>
    <t xml:space="preserve">아트</t>
  </si>
  <si>
    <t xml:space="preserve">전원</t>
  </si>
  <si>
    <r>
      <rPr>
        <sz val="10"/>
        <rFont val="Noto Sans CJK SC"/>
        <family val="2"/>
      </rPr>
      <t xml:space="preserve">「결정」 편 읽기 </t>
    </r>
    <r>
      <rPr>
        <sz val="10"/>
        <rFont val="Arial"/>
        <family val="0"/>
        <charset val="1"/>
      </rPr>
      <t xml:space="preserve">(12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</si>
  <si>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답할 것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이상하면 그때만 말씀 주시면 됩니다</t>
    </r>
  </si>
  <si>
    <t xml:space="preserve">8/7</t>
  </si>
  <si>
    <t xml:space="preserve">금</t>
  </si>
  <si>
    <r>
      <rPr>
        <sz val="10"/>
        <rFont val="Arial"/>
        <family val="0"/>
        <charset val="1"/>
      </rPr>
      <t xml:space="preserve">PlayCanvas </t>
    </r>
    <r>
      <rPr>
        <sz val="10"/>
        <rFont val="Noto Sans CJK SC"/>
        <family val="2"/>
      </rPr>
      <t xml:space="preserve">계정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프로젝트 접속 확인</t>
    </r>
  </si>
  <si>
    <r>
      <rPr>
        <sz val="10"/>
        <rFont val="Arial"/>
        <family val="0"/>
        <charset val="1"/>
      </rPr>
      <t xml:space="preserve">8/9 </t>
    </r>
    <r>
      <rPr>
        <sz val="10"/>
        <rFont val="Noto Sans CJK SC"/>
        <family val="2"/>
      </rPr>
      <t xml:space="preserve">작업의 선행 조건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에디터가 열리는지만 확인하면 됨</t>
    </r>
  </si>
  <si>
    <t xml:space="preserve">기획</t>
  </si>
  <si>
    <r>
      <rPr>
        <sz val="10"/>
        <rFont val="Arial"/>
        <family val="0"/>
        <charset val="1"/>
      </rPr>
      <t xml:space="preserve">ElevenLabs </t>
    </r>
    <r>
      <rPr>
        <sz val="10"/>
        <rFont val="Noto Sans CJK SC"/>
        <family val="2"/>
      </rPr>
      <t xml:space="preserve">계정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플랜 확인 </t>
    </r>
    <r>
      <rPr>
        <sz val="10"/>
        <rFont val="Arial"/>
        <family val="0"/>
        <charset val="1"/>
      </rPr>
      <t xml:space="preserve">+ Sound Effects </t>
    </r>
    <r>
      <rPr>
        <sz val="10"/>
        <rFont val="Noto Sans CJK SC"/>
        <family val="2"/>
      </rPr>
      <t xml:space="preserve">루프 한 번 눌러 보기</t>
    </r>
  </si>
  <si>
    <r>
      <rPr>
        <sz val="10"/>
        <rFont val="Arial"/>
        <family val="0"/>
        <charset val="1"/>
      </rPr>
      <t xml:space="preserve">8/8 </t>
    </r>
    <r>
      <rPr>
        <sz val="10"/>
        <rFont val="Noto Sans CJK SC"/>
        <family val="2"/>
      </rPr>
      <t xml:space="preserve">본작업 전에 도구가 되는지만 확인</t>
    </r>
  </si>
  <si>
    <t xml:space="preserve">컨셉 문서에서 대사 분량 숫자가 적힌 곳 찾아 표시</t>
  </si>
  <si>
    <r>
      <rPr>
        <sz val="10"/>
        <rFont val="Arial"/>
        <family val="0"/>
        <charset val="1"/>
      </rPr>
      <t xml:space="preserve">8/10 </t>
    </r>
    <r>
      <rPr>
        <sz val="10"/>
        <rFont val="Noto Sans CJK SC"/>
        <family val="2"/>
      </rPr>
      <t xml:space="preserve">통일 작업을 위한 사전 정리 </t>
    </r>
    <r>
      <rPr>
        <sz val="10"/>
        <rFont val="Arial"/>
        <family val="0"/>
        <charset val="1"/>
      </rPr>
      <t xml:space="preserve">(8·10·13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</si>
  <si>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t xml:space="preserve">8/8</t>
  </si>
  <si>
    <t xml:space="preserve">토</t>
  </si>
  <si>
    <r>
      <rPr>
        <sz val="10"/>
        <rFont val="Arial"/>
        <family val="0"/>
        <charset val="1"/>
      </rPr>
      <t xml:space="preserve">PlayCanvas </t>
    </r>
    <r>
      <rPr>
        <sz val="10"/>
        <rFont val="Noto Sans CJK SC"/>
        <family val="2"/>
      </rPr>
      <t xml:space="preserve">「프리셋 저장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불러오기」 버튼</t>
    </r>
  </si>
  <si>
    <r>
      <rPr>
        <sz val="10"/>
        <rFont val="Noto Sans CJK SC"/>
        <family val="2"/>
      </rPr>
      <t xml:space="preserve">아트 </t>
    </r>
    <r>
      <rPr>
        <sz val="10"/>
        <rFont val="Arial"/>
        <family val="0"/>
        <charset val="1"/>
      </rPr>
      <t xml:space="preserve">8/9 </t>
    </r>
    <r>
      <rPr>
        <sz val="10"/>
        <rFont val="Noto Sans CJK SC"/>
        <family val="2"/>
      </rPr>
      <t xml:space="preserve">작업의 선행 조건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이게 없으면 아트가 못 움직임</t>
    </r>
  </si>
  <si>
    <t xml:space="preserve">백엔드 고정</t>
  </si>
  <si>
    <r>
      <rPr>
        <sz val="10"/>
        <rFont val="Arial"/>
        <family val="0"/>
        <charset val="1"/>
      </rPr>
      <t xml:space="preserve">curl</t>
    </r>
    <r>
      <rPr>
        <sz val="10"/>
        <rFont val="Noto Sans CJK SC"/>
        <family val="2"/>
      </rPr>
      <t xml:space="preserve">로 두드릴 수 있는 상태</t>
    </r>
  </si>
  <si>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목소리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— </t>
    </r>
    <r>
      <rPr>
        <sz val="10"/>
        <rFont val="Arial"/>
        <family val="0"/>
        <charset val="1"/>
      </rPr>
      <t xml:space="preserve">Voice Design</t>
    </r>
    <r>
      <rPr>
        <sz val="10"/>
        <rFont val="Noto Sans CJK SC"/>
        <family val="2"/>
      </rPr>
      <t xml:space="preserve">으로 만들어 저장</t>
    </r>
  </si>
  <si>
    <r>
      <rPr>
        <sz val="10"/>
        <rFont val="Arial"/>
        <family val="0"/>
        <charset val="1"/>
      </rPr>
      <t xml:space="preserve">voice ID</t>
    </r>
    <r>
      <rPr>
        <sz val="10"/>
        <rFont val="Noto Sans CJK SC"/>
        <family val="2"/>
      </rPr>
      <t xml:space="preserve">를 개발에 공유</t>
    </r>
    <r>
      <rPr>
        <sz val="10"/>
        <rFont val="Arial"/>
        <family val="0"/>
        <charset val="1"/>
      </rPr>
      <t xml:space="preserve">. 9</t>
    </r>
    <r>
      <rPr>
        <sz val="10"/>
        <rFont val="Noto Sans CJK SC"/>
        <family val="2"/>
      </rPr>
      <t xml:space="preserve">월까지 이 목소리 하나만 씀</t>
    </r>
  </si>
  <si>
    <r>
      <rPr>
        <sz val="10"/>
        <rFont val="Noto Sans CJK SC"/>
        <family val="2"/>
      </rPr>
      <t xml:space="preserve">배경 트랙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 루프 — 초안</t>
    </r>
  </si>
  <si>
    <r>
      <rPr>
        <sz val="10"/>
        <rFont val="Noto Sans CJK SC"/>
        <family val="2"/>
      </rPr>
      <t xml:space="preserve">「사운드 제작법」의 프롬프트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개를 그대로 넣으면 됩니다</t>
    </r>
  </si>
  <si>
    <t xml:space="preserve">검증</t>
  </si>
  <si>
    <r>
      <rPr>
        <sz val="10"/>
        <rFont val="Arial"/>
        <family val="0"/>
        <charset val="1"/>
      </rPr>
      <t xml:space="preserve">T3 — </t>
    </r>
    <r>
      <rPr>
        <sz val="10"/>
        <rFont val="Noto Sans CJK SC"/>
        <family val="2"/>
      </rPr>
      <t xml:space="preserve">네 트랙 각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로 동시 재생 후 트루 피크 측정</t>
    </r>
  </si>
  <si>
    <r>
      <rPr>
        <sz val="10"/>
        <rFont val="Arial"/>
        <family val="0"/>
        <charset val="1"/>
      </rPr>
      <t xml:space="preserve">0 dBFS</t>
    </r>
    <r>
      <rPr>
        <sz val="10"/>
        <rFont val="Noto Sans CJK SC"/>
        <family val="2"/>
      </rPr>
      <t xml:space="preserve">를 넘지 않아야 함</t>
    </r>
  </si>
  <si>
    <t xml:space="preserve">8/9</t>
  </si>
  <si>
    <t xml:space="preserve">일</t>
  </si>
  <si>
    <r>
      <rPr>
        <sz val="10"/>
        <rFont val="Noto Sans CJK SC"/>
        <family val="2"/>
      </rPr>
      <t xml:space="preserve">에디터에서 프리셋 시험 제작 — 중립 </t>
    </r>
    <r>
      <rPr>
        <sz val="10"/>
        <rFont val="Arial"/>
        <family val="0"/>
        <charset val="1"/>
      </rPr>
      <t xml:space="preserve">1 + </t>
    </r>
    <r>
      <rPr>
        <sz val="10"/>
        <rFont val="Noto Sans CJK SC"/>
        <family val="2"/>
      </rPr>
      <t xml:space="preserve">순수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종</t>
    </r>
  </si>
  <si>
    <r>
      <rPr>
        <sz val="10"/>
        <rFont val="Noto Sans CJK SC"/>
        <family val="2"/>
      </rPr>
      <t xml:space="preserve">숫자 표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눈으로 맞추고 「저장」만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형식 검증용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</si>
  <si>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문구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— 개발 초안 검토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수정</t>
    </r>
  </si>
  <si>
    <r>
      <rPr>
        <sz val="10"/>
        <rFont val="Noto Sans CJK SC"/>
        <family val="2"/>
      </rPr>
      <t xml:space="preserve">고쳐 쓰기만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조건은 「네 갈래로 답할 수 있는가」 하나</t>
    </r>
  </si>
  <si>
    <t xml:space="preserve">8/10</t>
  </si>
  <si>
    <t xml:space="preserve">월</t>
  </si>
  <si>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아트</t>
    </r>
  </si>
  <si>
    <t xml:space="preserve">시험 프리셋 런타임 확인 → 형식 피드백</t>
  </si>
  <si>
    <r>
      <rPr>
        <sz val="10"/>
        <rFont val="Noto Sans CJK SC"/>
        <family val="2"/>
      </rPr>
      <t xml:space="preserve">여기서 형식이 맞으면 나머지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세트는 안심하고 진행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</si>
  <si>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문구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확정</t>
    </r>
  </si>
  <si>
    <r>
      <rPr>
        <sz val="10"/>
        <rFont val="Noto Sans CJK SC"/>
        <family val="2"/>
      </rPr>
      <t xml:space="preserve">컨셉 문서 대사 분량을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벌로 통일 </t>
    </r>
    <r>
      <rPr>
        <sz val="10"/>
        <rFont val="Arial"/>
        <family val="0"/>
        <charset val="1"/>
      </rPr>
      <t xml:space="preserve">(8·10·13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</si>
  <si>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집필 때 옛 숫자를 보지 않도록</t>
    </r>
  </si>
  <si>
    <t xml:space="preserve">8/11</t>
  </si>
  <si>
    <t xml:space="preserve">화</t>
  </si>
  <si>
    <r>
      <rPr>
        <sz val="10"/>
        <rFont val="Arial"/>
        <family val="0"/>
        <charset val="1"/>
      </rPr>
      <t xml:space="preserve">Q1 </t>
    </r>
    <r>
      <rPr>
        <sz val="10"/>
        <rFont val="Noto Sans CJK SC"/>
        <family val="2"/>
      </rPr>
      <t xml:space="preserve">음성 — 「당신은 무엇을 기다리고 있습니까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」</t>
    </r>
  </si>
  <si>
    <r>
      <rPr>
        <sz val="10"/>
        <rFont val="Arial"/>
        <family val="0"/>
        <charset val="1"/>
      </rPr>
      <t xml:space="preserve">TTS v3, NPC </t>
    </r>
    <r>
      <rPr>
        <sz val="10"/>
        <rFont val="Noto Sans CJK SC"/>
        <family val="2"/>
      </rPr>
      <t xml:space="preserve">목소리</t>
    </r>
  </si>
  <si>
    <t xml:space="preserve">되묻기 음성 — 「조금 더 말씀해 주시겠어요」</t>
  </si>
  <si>
    <r>
      <rPr>
        <sz val="10"/>
        <rFont val="Noto Sans CJK SC"/>
        <family val="2"/>
      </rPr>
      <t xml:space="preserve">들숨 — 관객 말이 끝난 뒤 </t>
    </r>
    <r>
      <rPr>
        <sz val="10"/>
        <rFont val="Arial"/>
        <family val="0"/>
        <charset val="1"/>
      </rPr>
      <t xml:space="preserve">NPC</t>
    </r>
    <r>
      <rPr>
        <sz val="10"/>
        <rFont val="Noto Sans CJK SC"/>
        <family val="2"/>
      </rPr>
      <t xml:space="preserve">가 숨을 들이쉬는 소리</t>
    </r>
  </si>
  <si>
    <r>
      <rPr>
        <sz val="10"/>
        <rFont val="Noto Sans CJK SC"/>
        <family val="2"/>
      </rPr>
      <t xml:space="preserve">이 목록에서 가장 중요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파일 하나로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초 지연이 덮임</t>
    </r>
    <r>
      <rPr>
        <sz val="10"/>
        <rFont val="Arial"/>
        <family val="0"/>
        <charset val="1"/>
      </rPr>
      <t xml:space="preserve">. SFX</t>
    </r>
    <r>
      <rPr>
        <sz val="10"/>
        <rFont val="Noto Sans CJK SC"/>
        <family val="2"/>
      </rPr>
      <t xml:space="preserve">로</t>
    </r>
  </si>
  <si>
    <r>
      <rPr>
        <sz val="10"/>
        <rFont val="Noto Sans CJK SC"/>
        <family val="2"/>
      </rPr>
      <t xml:space="preserve">채움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— 「</t>
    </r>
    <r>
      <rPr>
        <sz val="10"/>
        <rFont val="Arial"/>
        <family val="0"/>
        <charset val="1"/>
      </rPr>
      <t xml:space="preserve">...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...</t>
    </r>
    <r>
      <rPr>
        <sz val="10"/>
        <rFont val="Noto Sans CJK SC"/>
        <family val="2"/>
      </rPr>
      <t xml:space="preserve">그렇군요</t>
    </r>
    <r>
      <rPr>
        <sz val="10"/>
        <rFont val="Arial"/>
        <family val="0"/>
        <charset val="1"/>
      </rPr>
      <t xml:space="preserve">.</t>
    </r>
    <r>
      <rPr>
        <sz val="10"/>
        <rFont val="Noto Sans CJK SC"/>
        <family val="2"/>
      </rPr>
      <t xml:space="preserve">」</t>
    </r>
  </si>
  <si>
    <r>
      <rPr>
        <sz val="10"/>
        <rFont val="Noto Sans CJK SC"/>
        <family val="2"/>
      </rPr>
      <t xml:space="preserve">사운드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개발</t>
    </r>
  </si>
  <si>
    <r>
      <rPr>
        <sz val="10"/>
        <rFont val="Arial"/>
        <family val="0"/>
        <charset val="1"/>
      </rPr>
      <t xml:space="preserve">T6 — v3 </t>
    </r>
    <r>
      <rPr>
        <sz val="10"/>
        <rFont val="Noto Sans CJK SC"/>
        <family val="2"/>
      </rPr>
      <t xml:space="preserve">감정 태그가 한국어에서 실제로 먹는가</t>
    </r>
  </si>
  <si>
    <r>
      <rPr>
        <sz val="10"/>
        <rFont val="Noto Sans CJK SC"/>
        <family val="2"/>
      </rPr>
      <t xml:space="preserve">안 먹으면 태그 대신 문장을 바꿔 톤을 만듦</t>
    </r>
    <r>
      <rPr>
        <sz val="10"/>
        <rFont val="Arial"/>
        <family val="0"/>
        <charset val="1"/>
      </rPr>
      <t xml:space="preserve">. 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벌 방식이 갈림</t>
    </r>
  </si>
  <si>
    <r>
      <rPr>
        <sz val="10"/>
        <rFont val="Noto Sans CJK SC"/>
        <family val="2"/>
      </rPr>
      <t xml:space="preserve">사건 대사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사건당 최소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줄</t>
    </r>
    <r>
      <rPr>
        <sz val="10"/>
        <rFont val="Arial"/>
        <family val="0"/>
        <charset val="1"/>
      </rPr>
      <t xml:space="preserve">)</t>
    </r>
  </si>
  <si>
    <t xml:space="preserve">태도 중립이어야 함</t>
  </si>
  <si>
    <t xml:space="preserve">8/12</t>
  </si>
  <si>
    <t xml:space="preserve">수</t>
  </si>
  <si>
    <r>
      <rPr>
        <sz val="10"/>
        <rFont val="Noto Sans CJK SC"/>
        <family val="2"/>
      </rPr>
      <t xml:space="preserve">정류장 구조물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세트</t>
    </r>
  </si>
  <si>
    <t xml:space="preserve">상자 수준이라도 됨</t>
  </si>
  <si>
    <t xml:space="preserve">노선도 표지판</t>
  </si>
  <si>
    <r>
      <rPr>
        <sz val="10"/>
        <rFont val="Noto Sans CJK SC"/>
        <family val="2"/>
      </rPr>
      <t xml:space="preserve">시연 필수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이름 자리를 평면 사각형으로 분리 </t>
    </r>
    <r>
      <rPr>
        <sz val="10"/>
        <rFont val="Arial"/>
        <family val="0"/>
        <charset val="1"/>
      </rPr>
      <t xml:space="preserve">+ UV 0~1</t>
    </r>
  </si>
  <si>
    <r>
      <rPr>
        <sz val="10"/>
        <rFont val="Arial"/>
        <family val="0"/>
        <charset val="1"/>
      </rPr>
      <t xml:space="preserve">T1 — </t>
    </r>
    <r>
      <rPr>
        <sz val="10"/>
        <rFont val="Noto Sans CJK SC"/>
        <family val="2"/>
      </rPr>
      <t xml:space="preserve">텍스처가 조명에 반응하는가</t>
    </r>
  </si>
  <si>
    <r>
      <rPr>
        <sz val="10"/>
        <rFont val="Noto Sans CJK SC"/>
        <family val="2"/>
      </rPr>
      <t xml:space="preserve">소품 하나를 청록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호박 두 조명에서 스크린샷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인상이 다르면 통과</t>
    </r>
  </si>
  <si>
    <r>
      <rPr>
        <sz val="10"/>
        <rFont val="Noto Sans CJK SC"/>
        <family val="2"/>
      </rPr>
      <t xml:space="preserve">아트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개발</t>
    </r>
  </si>
  <si>
    <r>
      <rPr>
        <sz val="10"/>
        <rFont val="Arial"/>
        <family val="0"/>
        <charset val="1"/>
      </rPr>
      <t xml:space="preserve">T2 — </t>
    </r>
    <r>
      <rPr>
        <sz val="10"/>
        <rFont val="Noto Sans CJK SC"/>
        <family val="2"/>
      </rPr>
      <t xml:space="preserve">어둠 속에서 표지판 한글이 읽히는가</t>
    </r>
  </si>
  <si>
    <r>
      <rPr>
        <sz val="10"/>
        <rFont val="Noto Sans CJK SC"/>
        <family val="2"/>
      </rPr>
      <t xml:space="preserve">중립에서 한 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가장 어두운 순수 프리셋에서 한 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둘 다 통과</t>
    </r>
  </si>
  <si>
    <r>
      <rPr>
        <sz val="10"/>
        <rFont val="Arial"/>
        <family val="0"/>
        <charset val="1"/>
      </rPr>
      <t xml:space="preserve">PlayCanvas </t>
    </r>
    <r>
      <rPr>
        <sz val="10"/>
        <rFont val="Noto Sans CJK SC"/>
        <family val="2"/>
      </rPr>
      <t xml:space="preserve">화이트박스 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테스트 환경</t>
    </r>
  </si>
  <si>
    <t xml:space="preserve">에셋을 넣어 볼 수 있는 상태</t>
  </si>
  <si>
    <t xml:space="preserve">8/13</t>
  </si>
  <si>
    <r>
      <rPr>
        <sz val="10"/>
        <rFont val="Noto Sans CJK SC"/>
        <family val="2"/>
      </rPr>
      <t xml:space="preserve">런타임 </t>
    </r>
    <r>
      <rPr>
        <sz val="10"/>
        <rFont val="Arial"/>
        <family val="0"/>
        <charset val="1"/>
      </rPr>
      <t xml:space="preserve">EQ + </t>
    </r>
    <r>
      <rPr>
        <sz val="10"/>
        <rFont val="Noto Sans CJK SC"/>
        <family val="2"/>
      </rPr>
      <t xml:space="preserve">마스터 리미터</t>
    </r>
  </si>
  <si>
    <r>
      <rPr>
        <sz val="10"/>
        <rFont val="Noto Sans CJK SC"/>
        <family val="2"/>
      </rPr>
      <t xml:space="preserve">장르별 주파수 색은 코드가 입힘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사운드는 신경 쓰지 않음</t>
    </r>
  </si>
  <si>
    <r>
      <rPr>
        <sz val="10"/>
        <rFont val="Arial"/>
        <family val="0"/>
        <charset val="1"/>
      </rPr>
      <t xml:space="preserve">ElevenLabs </t>
    </r>
    <r>
      <rPr>
        <sz val="10"/>
        <rFont val="Noto Sans CJK SC"/>
        <family val="2"/>
      </rPr>
      <t xml:space="preserve">배치 합성 스크립트</t>
    </r>
  </si>
  <si>
    <r>
      <rPr>
        <sz val="10"/>
        <rFont val="Noto Sans CJK SC"/>
        <family val="2"/>
      </rPr>
      <t xml:space="preserve">스프레드시트 → 음성 파일 일괄</t>
    </r>
    <r>
      <rPr>
        <sz val="10"/>
        <rFont val="Arial"/>
        <family val="0"/>
        <charset val="1"/>
      </rPr>
      <t xml:space="preserve">. 9</t>
    </r>
    <r>
      <rPr>
        <sz val="10"/>
        <rFont val="Noto Sans CJK SC"/>
        <family val="2"/>
      </rPr>
      <t xml:space="preserve">월 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줄용</t>
    </r>
  </si>
  <si>
    <r>
      <rPr>
        <sz val="10"/>
        <rFont val="Noto Sans CJK SC"/>
        <family val="2"/>
      </rPr>
      <t xml:space="preserve">순수 배합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이름</t>
    </r>
  </si>
  <si>
    <t xml:space="preserve">8/14</t>
  </si>
  <si>
    <r>
      <rPr>
        <sz val="10"/>
        <rFont val="Noto Sans CJK SC"/>
        <family val="2"/>
      </rPr>
      <t xml:space="preserve">조명 프리셋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세트 — 중립 </t>
    </r>
    <r>
      <rPr>
        <sz val="10"/>
        <rFont val="Arial"/>
        <family val="0"/>
        <charset val="1"/>
      </rPr>
      <t xml:space="preserve">1 + </t>
    </r>
    <r>
      <rPr>
        <sz val="10"/>
        <rFont val="Noto Sans CJK SC"/>
        <family val="2"/>
      </rPr>
      <t xml:space="preserve">순수 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</si>
  <si>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에디터에서 저장한 값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조합 프리셋은 만들지 않음</t>
    </r>
  </si>
  <si>
    <t xml:space="preserve">8/15</t>
  </si>
  <si>
    <r>
      <rPr>
        <sz val="10"/>
        <rFont val="Noto Sans CJK SC"/>
        <family val="2"/>
      </rPr>
      <t xml:space="preserve">옆사람 실루엣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</t>
    </r>
  </si>
  <si>
    <t xml:space="preserve">애니메이션 없어도 됨</t>
  </si>
  <si>
    <t xml:space="preserve">두 사람 실험 녹음 동의서</t>
  </si>
  <si>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8/18 </t>
    </r>
    <r>
      <rPr>
        <sz val="10"/>
        <rFont val="Noto Sans CJK SC"/>
        <family val="2"/>
      </rPr>
      <t xml:space="preserve">실험을 못 함</t>
    </r>
  </si>
  <si>
    <t xml:space="preserve">실험 진행 대본</t>
  </si>
  <si>
    <r>
      <rPr>
        <sz val="10"/>
        <rFont val="Noto Sans CJK SC"/>
        <family val="2"/>
      </rPr>
      <t xml:space="preserve">진행자는 「뭐 봤어</t>
    </r>
    <r>
      <rPr>
        <sz val="10"/>
        <rFont val="Arial"/>
        <family val="0"/>
        <charset val="1"/>
      </rPr>
      <t xml:space="preserve">?</t>
    </r>
    <r>
      <rPr>
        <sz val="10"/>
        <rFont val="Noto Sans CJK SC"/>
        <family val="2"/>
      </rPr>
      <t xml:space="preserve">」 한 마디만 하고 침묵</t>
    </r>
  </si>
  <si>
    <t xml:space="preserve">상태 머신 관통 — 처음부터 카드까지</t>
  </si>
  <si>
    <t xml:space="preserve">8/16</t>
  </si>
  <si>
    <r>
      <rPr>
        <sz val="10"/>
        <rFont val="Noto Sans CJK SC"/>
        <family val="2"/>
      </rPr>
      <t xml:space="preserve">통합 리허설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 연속 완주</t>
    </r>
  </si>
  <si>
    <r>
      <rPr>
        <sz val="10"/>
        <rFont val="Noto Sans CJK SC"/>
        <family val="2"/>
      </rPr>
      <t xml:space="preserve">여기서 깨지면 </t>
    </r>
    <r>
      <rPr>
        <sz val="10"/>
        <rFont val="Arial"/>
        <family val="0"/>
        <charset val="1"/>
      </rPr>
      <t xml:space="preserve">8/18 </t>
    </r>
    <r>
      <rPr>
        <sz val="10"/>
        <rFont val="Noto Sans CJK SC"/>
        <family val="2"/>
      </rPr>
      <t xml:space="preserve">실험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쌍이 날아감</t>
    </r>
  </si>
  <si>
    <t xml:space="preserve">8/17</t>
  </si>
  <si>
    <r>
      <rPr>
        <sz val="10"/>
        <rFont val="Arial"/>
        <family val="0"/>
        <charset val="1"/>
      </rPr>
      <t xml:space="preserve">T4 — Quest 3 </t>
    </r>
    <r>
      <rPr>
        <sz val="10"/>
        <rFont val="Noto Sans CJK SC"/>
        <family val="2"/>
      </rPr>
      <t xml:space="preserve">폴리곤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텍스처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드로우콜 실측</t>
    </r>
  </si>
  <si>
    <t xml:space="preserve">이 결과가 나오기 전까지 아트는 상한을 신경 쓰지 말 것</t>
  </si>
  <si>
    <r>
      <rPr>
        <sz val="10"/>
        <rFont val="Arial"/>
        <family val="0"/>
        <charset val="1"/>
      </rPr>
      <t xml:space="preserve">T5 — 1m </t>
    </r>
    <r>
      <rPr>
        <sz val="10"/>
        <rFont val="Noto Sans CJK SC"/>
        <family val="2"/>
      </rPr>
      <t xml:space="preserve">옆 대화가 마이크에 섞이는가</t>
    </r>
  </si>
  <si>
    <r>
      <rPr>
        <sz val="10"/>
        <rFont val="Noto Sans CJK SC"/>
        <family val="2"/>
      </rPr>
      <t xml:space="preserve">실패하면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월에 근접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지향성 마이크로 교체</t>
    </r>
  </si>
  <si>
    <t xml:space="preserve">서버 켜는 방법 한 장</t>
  </si>
  <si>
    <t xml:space="preserve">실험 대기 공간 준비</t>
  </si>
  <si>
    <r>
      <rPr>
        <sz val="10"/>
        <rFont val="Noto Sans CJK SC"/>
        <family val="2"/>
      </rPr>
      <t xml:space="preserve">체험 중 진행자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촬영 인원도 조용히</t>
    </r>
  </si>
  <si>
    <t xml:space="preserve">8/18</t>
  </si>
  <si>
    <t xml:space="preserve">행사</t>
  </si>
  <si>
    <r>
      <rPr>
        <sz val="10"/>
        <rFont val="Noto Sans CJK SC"/>
        <family val="2"/>
      </rPr>
      <t xml:space="preserve">두 사람 실험 </t>
    </r>
    <r>
      <rPr>
        <sz val="10"/>
        <rFont val="Arial"/>
        <family val="0"/>
        <charset val="1"/>
      </rPr>
      <t xml:space="preserve">(8/18~8/19)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</si>
  <si>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쌍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명</t>
    </r>
  </si>
  <si>
    <t xml:space="preserve">8/20</t>
  </si>
  <si>
    <t xml:space="preserve">발표 자료</t>
  </si>
  <si>
    <t xml:space="preserve">8/21</t>
  </si>
  <si>
    <r>
      <rPr>
        <sz val="10"/>
        <rFont val="Noto Sans CJK SC"/>
        <family val="2"/>
      </rPr>
      <t xml:space="preserve">리허설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</t>
    </r>
  </si>
  <si>
    <r>
      <rPr>
        <sz val="10"/>
        <rFont val="Noto Sans CJK SC"/>
        <family val="2"/>
      </rPr>
      <t xml:space="preserve">현장 네트워크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조명 조건 확인</t>
    </r>
  </si>
  <si>
    <t xml:space="preserve">8/22</t>
  </si>
  <si>
    <r>
      <rPr>
        <sz val="10"/>
        <rFont val="Arial"/>
        <family val="0"/>
        <charset val="1"/>
      </rPr>
      <t xml:space="preserve">🎤 1</t>
    </r>
    <r>
      <rPr>
        <sz val="10"/>
        <rFont val="Noto Sans CJK SC"/>
        <family val="2"/>
      </rPr>
      <t xml:space="preserve">차 시연 발표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</si>
  <si>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초</t>
    </r>
  </si>
  <si>
    <r>
      <rPr>
        <sz val="10"/>
        <rFont val="Noto Sans CJK SC"/>
        <family val="2"/>
      </rPr>
      <t xml:space="preserve">체험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헤드셋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동시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인 — 이의 없으면 확정</t>
    </r>
  </si>
  <si>
    <r>
      <rPr>
        <sz val="10"/>
        <rFont val="Noto Sans CJK SC"/>
        <family val="2"/>
      </rPr>
      <t xml:space="preserve">여기까지가 되돌릴 수 있는 마지막</t>
    </r>
    <r>
      <rPr>
        <sz val="10"/>
        <rFont val="Arial"/>
        <family val="0"/>
        <charset val="1"/>
      </rPr>
      <t xml:space="preserve">. 11</t>
    </r>
    <r>
      <rPr>
        <sz val="10"/>
        <rFont val="Noto Sans CJK SC"/>
        <family val="2"/>
      </rPr>
      <t xml:space="preserve">월엔 손댈 수 없음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</si>
  <si>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</si>
  <si>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벌 대사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초안 생성해 기획에 전달</t>
    </r>
  </si>
  <si>
    <t xml:space="preserve">기획은 고르고 고치기만</t>
  </si>
  <si>
    <r>
      <rPr>
        <sz val="10"/>
        <rFont val="Noto Sans CJK SC"/>
        <family val="2"/>
      </rPr>
      <t xml:space="preserve">배합 이름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개 — 혼합 </t>
    </r>
    <r>
      <rPr>
        <sz val="10"/>
        <rFont val="Arial"/>
        <family val="0"/>
        <charset val="1"/>
      </rPr>
      <t xml:space="preserve">12 + </t>
    </r>
    <r>
      <rPr>
        <sz val="10"/>
        <rFont val="Noto Sans CJK SC"/>
        <family val="2"/>
      </rPr>
      <t xml:space="preserve">순수 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</si>
  <si>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연기 클립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(att_horror/romance/comedy/fantasy/neutral)</t>
    </r>
  </si>
  <si>
    <r>
      <rPr>
        <sz val="10"/>
        <rFont val="Noto Sans CJK SC"/>
        <family val="2"/>
      </rPr>
      <t xml:space="preserve">루트 모션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머리 본 노출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루프</t>
    </r>
  </si>
  <si>
    <t xml:space="preserve">조명 프리셋 완성도 올리기</t>
  </si>
  <si>
    <t xml:space="preserve">에디터 값 다듬기</t>
  </si>
  <si>
    <r>
      <rPr>
        <sz val="10"/>
        <rFont val="Noto Sans CJK SC"/>
        <family val="2"/>
      </rPr>
      <t xml:space="preserve">배경 트랙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 완성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</si>
  <si>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초안을 </t>
    </r>
    <r>
      <rPr>
        <sz val="10"/>
        <rFont val="Arial"/>
        <family val="0"/>
        <charset val="1"/>
      </rPr>
      <t xml:space="preserve">Music</t>
    </r>
    <r>
      <rPr>
        <sz val="10"/>
        <rFont val="Noto Sans CJK SC"/>
        <family val="2"/>
      </rPr>
      <t xml:space="preserve">으로 다시 뽑아 볼지 판단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</si>
  <si>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음성 사건별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</si>
  <si>
    <r>
      <rPr>
        <sz val="10"/>
        <rFont val="Arial"/>
        <family val="0"/>
        <charset val="1"/>
      </rPr>
      <t xml:space="preserve">TTS v3, </t>
    </r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voice ID</t>
    </r>
  </si>
  <si>
    <t xml:space="preserve">결정</t>
  </si>
  <si>
    <t xml:space="preserve">마이크 교체 판단</t>
  </si>
  <si>
    <r>
      <rPr>
        <sz val="10"/>
        <rFont val="Arial"/>
        <family val="0"/>
        <charset val="1"/>
      </rPr>
      <t xml:space="preserve">T5 </t>
    </r>
    <r>
      <rPr>
        <sz val="10"/>
        <rFont val="Noto Sans CJK SC"/>
        <family val="2"/>
      </rPr>
      <t xml:space="preserve">결과에 따라</t>
    </r>
  </si>
  <si>
    <t xml:space="preserve">중간평가 이후</t>
  </si>
  <si>
    <r>
      <rPr>
        <sz val="10"/>
        <rFont val="Noto Sans CJK SC"/>
        <family val="2"/>
      </rPr>
      <t xml:space="preserve">조명 경로 </t>
    </r>
    <r>
      <rPr>
        <sz val="10"/>
        <rFont val="Arial"/>
        <family val="0"/>
        <charset val="1"/>
      </rPr>
      <t xml:space="preserve">A (</t>
    </r>
    <r>
      <rPr>
        <sz val="10"/>
        <rFont val="Noto Sans CJK SC"/>
        <family val="2"/>
      </rPr>
      <t xml:space="preserve">라이트맵 베이크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재검토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</si>
  <si>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월은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로 확정</t>
    </r>
    <r>
      <rPr>
        <sz val="10"/>
        <rFont val="Arial"/>
        <family val="0"/>
        <charset val="1"/>
      </rPr>
      <t xml:space="preserve">. A</t>
    </r>
    <r>
      <rPr>
        <sz val="10"/>
        <rFont val="Noto Sans CJK SC"/>
        <family val="2"/>
      </rPr>
      <t xml:space="preserve">는 여기서 다시 봄</t>
    </r>
  </si>
  <si>
    <r>
      <rPr>
        <sz val="10"/>
        <rFont val="Arial"/>
        <family val="0"/>
        <charset val="1"/>
      </rPr>
      <t xml:space="preserve">9~10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</si>
  <si>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문장 층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줄</t>
    </r>
  </si>
  <si>
    <r>
      <rPr>
        <sz val="10"/>
        <rFont val="Noto Sans CJK SC"/>
        <family val="2"/>
      </rPr>
      <t xml:space="preserve">개발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초안을 받아서 고치는 방식</t>
    </r>
  </si>
  <si>
    <r>
      <rPr>
        <sz val="10"/>
        <rFont val="Noto Sans CJK SC"/>
        <family val="2"/>
      </rPr>
      <t xml:space="preserve">콜백 템플릿 </t>
    </r>
    <r>
      <rPr>
        <sz val="10"/>
        <rFont val="Arial"/>
        <family val="0"/>
        <charset val="1"/>
      </rPr>
      <t xml:space="preserve">16 + </t>
    </r>
    <r>
      <rPr>
        <sz val="10"/>
        <rFont val="Noto Sans CJK SC"/>
        <family val="2"/>
      </rPr>
      <t xml:space="preserve">폴백 </t>
    </r>
    <r>
      <rPr>
        <sz val="10"/>
        <rFont val="Arial"/>
        <family val="0"/>
        <charset val="1"/>
      </rPr>
      <t xml:space="preserve">16</t>
    </r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</si>
  <si>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월</t>
    </r>
  </si>
  <si>
    <r>
      <rPr>
        <sz val="10"/>
        <rFont val="Noto Sans CJK SC"/>
        <family val="2"/>
      </rPr>
      <t xml:space="preserve">버스 </t>
    </r>
    <r>
      <rPr>
        <sz val="10"/>
        <rFont val="Arial"/>
        <family val="0"/>
        <charset val="1"/>
      </rPr>
      <t xml:space="preserve">3D 4</t>
    </r>
    <r>
      <rPr>
        <sz val="10"/>
        <rFont val="Noto Sans CJK SC"/>
        <family val="2"/>
      </rPr>
      <t xml:space="preserve">종</t>
    </r>
  </si>
  <si>
    <r>
      <rPr>
        <sz val="10"/>
        <rFont val="Noto Sans CJK SC"/>
        <family val="2"/>
      </rPr>
      <t xml:space="preserve">버스 소리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</si>
  <si>
    <r>
      <rPr>
        <sz val="10"/>
        <rFont val="Arial"/>
        <family val="0"/>
        <charset val="1"/>
      </rPr>
      <t xml:space="preserve">SFX, </t>
    </r>
    <r>
      <rPr>
        <sz val="10"/>
        <rFont val="Noto Sans CJK SC"/>
        <family val="2"/>
      </rPr>
      <t xml:space="preserve">루프 끄기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프롬프트는 「사운드 제작법」에</t>
    </r>
  </si>
  <si>
    <r>
      <rPr>
        <sz val="10"/>
        <rFont val="Noto Sans CJK SC"/>
        <family val="2"/>
      </rPr>
      <t xml:space="preserve">장르 소품 </t>
    </r>
    <r>
      <rPr>
        <sz val="10"/>
        <rFont val="Arial"/>
        <family val="0"/>
        <charset val="1"/>
      </rPr>
      <t xml:space="preserve">4 + </t>
    </r>
    <r>
      <rPr>
        <sz val="10"/>
        <rFont val="Noto Sans CJK SC"/>
        <family val="2"/>
      </rPr>
      <t xml:space="preserve">공용 소품 </t>
    </r>
    <r>
      <rPr>
        <sz val="10"/>
        <rFont val="Arial"/>
        <family val="0"/>
        <charset val="1"/>
      </rPr>
      <t xml:space="preserve">8~10</t>
    </r>
  </si>
  <si>
    <t xml:space="preserve">전시 동선 — 두 사람이 카드를 비교할 자리</t>
  </si>
  <si>
    <r>
      <rPr>
        <sz val="10"/>
        <rFont val="Noto Sans CJK SC"/>
        <family val="2"/>
      </rPr>
      <t xml:space="preserve">체험 자리와 떨어뜨릴 것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마이크 오염</t>
    </r>
    <r>
      <rPr>
        <sz val="10"/>
        <rFont val="Arial"/>
        <family val="0"/>
        <charset val="1"/>
      </rPr>
      <t xml:space="preserve">)</t>
    </r>
  </si>
  <si>
    <t xml:space="preserve">입구 음성 처리 안내문</t>
  </si>
  <si>
    <t xml:space="preserve">운영 매뉴얼</t>
  </si>
  <si>
    <t xml:space="preserve">「프로젝터를 켜면 표지판 스위치도 켠다」 한 줄 포함</t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</si>
  <si>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 초</t>
    </r>
  </si>
  <si>
    <r>
      <rPr>
        <sz val="10"/>
        <rFont val="Noto Sans CJK SC"/>
        <family val="2"/>
      </rPr>
      <t xml:space="preserve">리허설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운영 인원 교육</t>
    </r>
  </si>
  <si>
    <r>
      <rPr>
        <sz val="10"/>
        <rFont val="Arial"/>
        <family val="0"/>
        <charset val="1"/>
      </rPr>
      <t xml:space="preserve">11</t>
    </r>
    <r>
      <rPr>
        <sz val="10"/>
        <rFont val="Noto Sans CJK SC"/>
        <family val="2"/>
      </rPr>
      <t xml:space="preserve">월</t>
    </r>
  </si>
  <si>
    <t xml:space="preserve">🎪 전시</t>
  </si>
  <si>
    <t xml:space="preserve">번호</t>
  </si>
  <si>
    <t xml:space="preserve">항목</t>
  </si>
  <si>
    <t xml:space="preserve">정한 값</t>
  </si>
  <si>
    <t xml:space="preserve">왜 이렇게 정했나</t>
  </si>
  <si>
    <t xml:space="preserve">되돌리려면</t>
  </si>
  <si>
    <t xml:space="preserve">D1</t>
  </si>
  <si>
    <t xml:space="preserve">조명 전환 경로</t>
  </si>
  <si>
    <r>
      <rPr>
        <b val="true"/>
        <sz val="10"/>
        <rFont val="Noto Sans CJK SC"/>
        <family val="2"/>
      </rPr>
      <t xml:space="preserve">경로 </t>
    </r>
    <r>
      <rPr>
        <b val="true"/>
        <sz val="10"/>
        <rFont val="Arial"/>
        <family val="0"/>
        <charset val="1"/>
      </rPr>
      <t xml:space="preserve">B — PlayCanvas </t>
    </r>
    <r>
      <rPr>
        <b val="true"/>
        <sz val="10"/>
        <rFont val="Noto Sans CJK SC"/>
        <family val="2"/>
      </rPr>
      <t xml:space="preserve">실시간 조명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라이트맵 베이크는 쓰지 않음</t>
    </r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</si>
  <si>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월에 남은 날이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는 베이크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셰이더 신규 개발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슬롯 재바인딩이 한 줄로 묶여 있어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실패해도 되돌릴 시간이 없음</t>
    </r>
  </si>
  <si>
    <r>
      <rPr>
        <sz val="10"/>
        <rFont val="Noto Sans CJK SC"/>
        <family val="2"/>
      </rPr>
      <t xml:space="preserve">중간평가 이후 다시 봅니다</t>
    </r>
    <r>
      <rPr>
        <sz val="10"/>
        <rFont val="Arial"/>
        <family val="0"/>
        <charset val="1"/>
      </rPr>
      <t xml:space="preserve">. 8</t>
    </r>
    <r>
      <rPr>
        <sz val="10"/>
        <rFont val="Noto Sans CJK SC"/>
        <family val="2"/>
      </rPr>
      <t xml:space="preserve">월 중에는 바꾸지 않습니다</t>
    </r>
  </si>
  <si>
    <t xml:space="preserve">D2</t>
  </si>
  <si>
    <t xml:space="preserve">조명 프리셋 만드는 방식</t>
  </si>
  <si>
    <r>
      <rPr>
        <b val="true"/>
        <sz val="10"/>
        <rFont val="Arial"/>
        <family val="0"/>
        <charset val="1"/>
      </rPr>
      <t xml:space="preserve">PlayCanvas </t>
    </r>
    <r>
      <rPr>
        <b val="true"/>
        <sz val="10"/>
        <rFont val="Noto Sans CJK SC"/>
        <family val="2"/>
      </rPr>
      <t xml:space="preserve">에디터에서 직접 조절 → 「저장」 버튼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숫자 표 없음</t>
    </r>
  </si>
  <si>
    <r>
      <rPr>
        <sz val="10"/>
        <rFont val="Noto Sans CJK SC"/>
        <family val="2"/>
      </rPr>
      <t xml:space="preserve">눈으로 보며 맞추는 편이 조명에서는 언제나 빠르고 정확함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개발이 </t>
    </r>
    <r>
      <rPr>
        <sz val="10"/>
        <rFont val="Arial"/>
        <family val="0"/>
        <charset val="1"/>
      </rPr>
      <t xml:space="preserve">8/8</t>
    </r>
    <r>
      <rPr>
        <sz val="10"/>
        <rFont val="Noto Sans CJK SC"/>
        <family val="2"/>
      </rPr>
      <t xml:space="preserve">까지 저장 버튼을 붙입니다</t>
    </r>
  </si>
  <si>
    <t xml:space="preserve">바꿀 이유 없음</t>
  </si>
  <si>
    <t xml:space="preserve">D3</t>
  </si>
  <si>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프리셋 완성도</t>
    </r>
  </si>
  <si>
    <r>
      <rPr>
        <b val="true"/>
        <sz val="10"/>
        <rFont val="Noto Sans CJK SC"/>
        <family val="2"/>
      </rPr>
      <t xml:space="preserve">거칠어도 됨</t>
    </r>
    <r>
      <rPr>
        <b val="true"/>
        <sz val="10"/>
        <rFont val="Arial"/>
        <family val="0"/>
        <charset val="1"/>
      </rPr>
      <t xml:space="preserve">. 8</t>
    </r>
    <r>
      <rPr>
        <b val="true"/>
        <sz val="10"/>
        <rFont val="Noto Sans CJK SC"/>
        <family val="2"/>
      </rPr>
      <t xml:space="preserve">월 합격 기준은 「넷이 서로 구분되는가」 하나</t>
    </r>
  </si>
  <si>
    <r>
      <rPr>
        <sz val="10"/>
        <rFont val="Arial"/>
        <family val="0"/>
        <charset val="1"/>
      </rPr>
      <t xml:space="preserve">8/22</t>
    </r>
    <r>
      <rPr>
        <sz val="10"/>
        <rFont val="Noto Sans CJK SC"/>
        <family val="2"/>
      </rPr>
      <t xml:space="preserve">는 시연이지 완성이 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완성도는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</si>
  <si>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월에 다듬습니다</t>
    </r>
  </si>
  <si>
    <t xml:space="preserve">D4</t>
  </si>
  <si>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얼굴 표정</t>
    </r>
  </si>
  <si>
    <r>
      <rPr>
        <b val="true"/>
        <sz val="10"/>
        <rFont val="Noto Sans CJK SC"/>
        <family val="2"/>
      </rPr>
      <t xml:space="preserve">만들지 않음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어둠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실루엣으로 갑니다</t>
    </r>
  </si>
  <si>
    <r>
      <rPr>
        <sz val="10"/>
        <rFont val="Noto Sans CJK SC"/>
        <family val="2"/>
      </rPr>
      <t xml:space="preserve">어두운 정류장에서 표정은 보이지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만들어도 화면에 나타나지 않는 작업</t>
    </r>
  </si>
  <si>
    <r>
      <rPr>
        <sz val="10"/>
        <rFont val="Arial"/>
        <family val="0"/>
        <charset val="1"/>
      </rPr>
      <t xml:space="preserve">T2</t>
    </r>
    <r>
      <rPr>
        <sz val="10"/>
        <rFont val="Noto Sans CJK SC"/>
        <family val="2"/>
      </rPr>
      <t xml:space="preserve">에서 의외로 얼굴이 보이면 그때 다시 이야기</t>
    </r>
  </si>
  <si>
    <t xml:space="preserve">D5</t>
  </si>
  <si>
    <r>
      <rPr>
        <sz val="10"/>
        <rFont val="Noto Sans CJK SC"/>
        <family val="2"/>
      </rPr>
      <t xml:space="preserve">표지판 글자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크기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서체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색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</si>
  <si>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색 </t>
    </r>
    <r>
      <rPr>
        <b val="true"/>
        <sz val="10"/>
        <rFont val="Arial"/>
        <family val="0"/>
        <charset val="1"/>
      </rPr>
      <t xml:space="preserve">#F5F2E8 / </t>
    </r>
    <r>
      <rPr>
        <b val="true"/>
        <sz val="10"/>
        <rFont val="Noto Sans CJK SC"/>
        <family val="2"/>
      </rPr>
      <t xml:space="preserve">서체 </t>
    </r>
    <r>
      <rPr>
        <b val="true"/>
        <sz val="10"/>
        <rFont val="Arial"/>
        <family val="0"/>
        <charset val="1"/>
      </rPr>
      <t xml:space="preserve">Pretendard Bold / </t>
    </r>
    <r>
      <rPr>
        <b val="true"/>
        <sz val="10"/>
        <rFont val="Noto Sans CJK SC"/>
        <family val="2"/>
      </rPr>
      <t xml:space="preserve">글자 높이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Noto Sans CJK SC"/>
        <family val="2"/>
      </rPr>
      <t xml:space="preserve">이름 자리 사각형 높이의 </t>
    </r>
    <r>
      <rPr>
        <b val="true"/>
        <sz val="10"/>
        <rFont val="Arial"/>
        <family val="0"/>
        <charset val="1"/>
      </rPr>
      <t xml:space="preserve">45%</t>
    </r>
  </si>
  <si>
    <r>
      <rPr>
        <sz val="10"/>
        <rFont val="Noto Sans CJK SC"/>
        <family val="2"/>
      </rPr>
      <t xml:space="preserve">값은 코드가 그리는 것이라 개발이 정하는 편이 맞음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아트는 「이름 자리 판이 충분히 어둡고 균일한가」만 신경 쓰면 됩니다</t>
    </r>
  </si>
  <si>
    <r>
      <rPr>
        <sz val="10"/>
        <rFont val="Arial"/>
        <family val="0"/>
        <charset val="1"/>
      </rPr>
      <t xml:space="preserve">T2</t>
    </r>
    <r>
      <rPr>
        <sz val="10"/>
        <rFont val="Noto Sans CJK SC"/>
        <family val="2"/>
      </rPr>
      <t xml:space="preserve">에서 안 읽히면 개발이 값을 올립니다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아트 작업은 그대로</t>
    </r>
  </si>
  <si>
    <t xml:space="preserve">D6</t>
  </si>
  <si>
    <t xml:space="preserve">트랙별 주파수 대역 분리</t>
  </si>
  <si>
    <r>
      <rPr>
        <b val="true"/>
        <sz val="10"/>
        <rFont val="Noto Sans CJK SC"/>
        <family val="2"/>
      </rPr>
      <t xml:space="preserve">사운드는 하지 않음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개발이 런타임 </t>
    </r>
    <r>
      <rPr>
        <b val="true"/>
        <sz val="10"/>
        <rFont val="Arial"/>
        <family val="0"/>
        <charset val="1"/>
      </rPr>
      <t xml:space="preserve">EQ</t>
    </r>
    <r>
      <rPr>
        <b val="true"/>
        <sz val="10"/>
        <rFont val="Noto Sans CJK SC"/>
        <family val="2"/>
      </rPr>
      <t xml:space="preserve">로 입힘</t>
    </r>
  </si>
  <si>
    <r>
      <rPr>
        <sz val="10"/>
        <rFont val="Arial"/>
        <family val="0"/>
        <charset val="1"/>
      </rPr>
      <t xml:space="preserve">ElevenLabs </t>
    </r>
    <r>
      <rPr>
        <sz val="10"/>
        <rFont val="Noto Sans CJK SC"/>
        <family val="2"/>
      </rPr>
      <t xml:space="preserve">생성물은 대역을 지정할 수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코드에서 필터 거는 편이 정확하고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나중에 조정도 됨</t>
    </r>
  </si>
  <si>
    <t xml:space="preserve">D7</t>
  </si>
  <si>
    <r>
      <rPr>
        <sz val="10"/>
        <rFont val="Noto Sans CJK SC"/>
        <family val="2"/>
      </rPr>
      <t xml:space="preserve">피크 헤드룸 −</t>
    </r>
    <r>
      <rPr>
        <sz val="10"/>
        <rFont val="Arial"/>
        <family val="0"/>
        <charset val="1"/>
      </rPr>
      <t xml:space="preserve">9 dBFS</t>
    </r>
  </si>
  <si>
    <r>
      <rPr>
        <b val="true"/>
        <sz val="10"/>
        <rFont val="Noto Sans CJK SC"/>
        <family val="2"/>
      </rPr>
      <t xml:space="preserve">목표로만 두고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못 맞춰도 그대로 주세요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개발이 리미터 </t>
    </r>
    <r>
      <rPr>
        <b val="true"/>
        <sz val="10"/>
        <rFont val="Arial"/>
        <family val="0"/>
        <charset val="1"/>
      </rPr>
      <t xml:space="preserve">+ </t>
    </r>
    <r>
      <rPr>
        <b val="true"/>
        <sz val="10"/>
        <rFont val="Noto Sans CJK SC"/>
        <family val="2"/>
      </rPr>
      <t xml:space="preserve">마스터 게인으로 받습니다</t>
    </r>
  </si>
  <si>
    <r>
      <rPr>
        <sz val="10"/>
        <rFont val="Noto Sans CJK SC"/>
        <family val="2"/>
      </rPr>
      <t xml:space="preserve">네 트랙 동시 구간의 최악값이 </t>
    </r>
    <r>
      <rPr>
        <sz val="10"/>
        <rFont val="Arial"/>
        <family val="0"/>
        <charset val="1"/>
      </rPr>
      <t xml:space="preserve">+6 dB. </t>
    </r>
    <r>
      <rPr>
        <sz val="10"/>
        <rFont val="Noto Sans CJK SC"/>
        <family val="2"/>
      </rPr>
      <t xml:space="preserve">이건 코드에서 받는 게 확실함</t>
    </r>
  </si>
  <si>
    <r>
      <rPr>
        <sz val="10"/>
        <rFont val="Arial"/>
        <family val="0"/>
        <charset val="1"/>
      </rPr>
      <t xml:space="preserve">8/8 T3 </t>
    </r>
    <r>
      <rPr>
        <sz val="10"/>
        <rFont val="Noto Sans CJK SC"/>
        <family val="2"/>
      </rPr>
      <t xml:space="preserve">실측으로 확인</t>
    </r>
  </si>
  <si>
    <t xml:space="preserve">D8</t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</si>
  <si>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문구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</si>
  <si>
    <r>
      <rPr>
        <b val="true"/>
        <sz val="10"/>
        <rFont val="Noto Sans CJK SC"/>
        <family val="2"/>
      </rPr>
      <t xml:space="preserve">개발이 초안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개를 </t>
    </r>
    <r>
      <rPr>
        <b val="true"/>
        <sz val="10"/>
        <rFont val="Arial"/>
        <family val="0"/>
        <charset val="1"/>
      </rPr>
      <t xml:space="preserve">8/6</t>
    </r>
    <r>
      <rPr>
        <b val="true"/>
        <sz val="10"/>
        <rFont val="Noto Sans CJK SC"/>
        <family val="2"/>
      </rPr>
      <t xml:space="preserve">에 드립니다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기획은 고쳐 쓰기만</t>
    </r>
  </si>
  <si>
    <r>
      <rPr>
        <sz val="10"/>
        <rFont val="Noto Sans CJK SC"/>
        <family val="2"/>
      </rPr>
      <t xml:space="preserve">백지에서 쓰는 것보다 고치는 게 빠름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조건은 「네 갈래로 답할 수 있는가」 하나뿐</t>
    </r>
  </si>
  <si>
    <t xml:space="preserve">초안이 마음에 안 들면 통째로 새로 쓰셔도 됩니다</t>
  </si>
  <si>
    <t xml:space="preserve">D9</t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</si>
  <si>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벌 대사 초안</t>
    </r>
  </si>
  <si>
    <r>
      <rPr>
        <b val="true"/>
        <sz val="10"/>
        <rFont val="Noto Sans CJK SC"/>
        <family val="2"/>
      </rPr>
      <t xml:space="preserve">개발이 </t>
    </r>
    <r>
      <rPr>
        <b val="true"/>
        <sz val="10"/>
        <rFont val="Arial"/>
        <family val="0"/>
        <charset val="1"/>
      </rPr>
      <t xml:space="preserve">LLM</t>
    </r>
    <r>
      <rPr>
        <b val="true"/>
        <sz val="10"/>
        <rFont val="Noto Sans CJK SC"/>
        <family val="2"/>
      </rPr>
      <t xml:space="preserve">으로 후보를 뽑아 드립니다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기획은 고르고 고치기</t>
    </r>
  </si>
  <si>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줄을 백지에서 쓰면 </t>
    </r>
    <r>
      <rPr>
        <sz val="10"/>
        <rFont val="Arial"/>
        <family val="0"/>
        <charset val="1"/>
      </rPr>
      <t xml:space="preserve">9~10</t>
    </r>
    <r>
      <rPr>
        <sz val="10"/>
        <rFont val="Noto Sans CJK SC"/>
        <family val="2"/>
      </rPr>
      <t xml:space="preserve">월이 무너짐</t>
    </r>
  </si>
  <si>
    <t xml:space="preserve">직접 쓰고 싶으시면 그렇게 하셔도 됩니다</t>
  </si>
  <si>
    <t xml:space="preserve">D10</t>
  </si>
  <si>
    <t xml:space="preserve">문장 층 분량</t>
  </si>
  <si>
    <r>
      <rPr>
        <b val="true"/>
        <sz val="10"/>
        <rFont val="Arial"/>
        <family val="0"/>
        <charset val="1"/>
      </rPr>
      <t xml:space="preserve">16</t>
    </r>
    <r>
      <rPr>
        <b val="true"/>
        <sz val="10"/>
        <rFont val="Noto Sans CJK SC"/>
        <family val="2"/>
      </rPr>
      <t xml:space="preserve">벌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약 </t>
    </r>
    <r>
      <rPr>
        <b val="true"/>
        <sz val="10"/>
        <rFont val="Arial"/>
        <family val="0"/>
        <charset val="1"/>
      </rPr>
      <t xml:space="preserve">56</t>
    </r>
    <r>
      <rPr>
        <b val="true"/>
        <sz val="10"/>
        <rFont val="Noto Sans CJK SC"/>
        <family val="2"/>
      </rPr>
      <t xml:space="preserve">줄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Noto Sans CJK SC"/>
        <family val="2"/>
      </rPr>
      <t xml:space="preserve">일정은 </t>
    </r>
    <r>
      <rPr>
        <b val="true"/>
        <sz val="10"/>
        <rFont val="Arial"/>
        <family val="0"/>
        <charset val="1"/>
      </rPr>
      <t xml:space="preserve">9~10</t>
    </r>
    <r>
      <rPr>
        <b val="true"/>
        <sz val="10"/>
        <rFont val="Noto Sans CJK SC"/>
        <family val="2"/>
      </rPr>
      <t xml:space="preserve">월 그대로</t>
    </r>
  </si>
  <si>
    <r>
      <rPr>
        <sz val="10"/>
        <rFont val="Arial"/>
        <family val="0"/>
        <charset val="1"/>
      </rPr>
      <t xml:space="preserve">D9</t>
    </r>
    <r>
      <rPr>
        <sz val="10"/>
        <rFont val="Noto Sans CJK SC"/>
        <family val="2"/>
      </rPr>
      <t xml:space="preserve">로 초안이 제공되므로 실제 작업은 「선택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수정」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</si>
  <si>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중순에 진도를 보고 줄일지 판단</t>
    </r>
  </si>
  <si>
    <t xml:space="preserve">D11</t>
  </si>
  <si>
    <r>
      <rPr>
        <sz val="10"/>
        <rFont val="Noto Sans CJK SC"/>
        <family val="2"/>
      </rPr>
      <t xml:space="preserve">체험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헤드셋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대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동시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인</t>
    </r>
  </si>
  <si>
    <r>
      <rPr>
        <b val="true"/>
        <sz val="10"/>
        <rFont val="Noto Sans CJK SC"/>
        <family val="2"/>
      </rPr>
      <t xml:space="preserve">이 값으로 갑니다</t>
    </r>
    <r>
      <rPr>
        <b val="true"/>
        <sz val="10"/>
        <rFont val="Arial"/>
        <family val="0"/>
        <charset val="1"/>
      </rPr>
      <t xml:space="preserve">. 9</t>
    </r>
    <r>
      <rPr>
        <b val="true"/>
        <sz val="10"/>
        <rFont val="Noto Sans CJK SC"/>
        <family val="2"/>
      </rPr>
      <t xml:space="preserve">월 초까지 말씀 없으면 확정</t>
    </r>
  </si>
  <si>
    <r>
      <rPr>
        <sz val="10"/>
        <rFont val="Noto Sans CJK SC"/>
        <family val="2"/>
      </rPr>
      <t xml:space="preserve">모든 시간 계산</t>
    </r>
    <r>
      <rPr>
        <sz val="10"/>
        <rFont val="Arial"/>
        <family val="0"/>
        <charset val="1"/>
      </rPr>
      <t xml:space="preserve">(1:40 </t>
    </r>
    <r>
      <rPr>
        <sz val="10"/>
        <rFont val="Noto Sans CJK SC"/>
        <family val="2"/>
      </rPr>
      <t xml:space="preserve">사건</t>
    </r>
    <r>
      <rPr>
        <sz val="10"/>
        <rFont val="Arial"/>
        <family val="0"/>
        <charset val="1"/>
      </rPr>
      <t xml:space="preserve">, 5:10 </t>
    </r>
    <r>
      <rPr>
        <sz val="10"/>
        <rFont val="Noto Sans CJK SC"/>
        <family val="2"/>
      </rPr>
      <t xml:space="preserve">태도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이 값 위에 서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지금 정해 두지 않으면 전부 다시 계산해야 함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</si>
  <si>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초까지는 바꿀 수 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뒤로는 어렵습니다</t>
    </r>
  </si>
  <si>
    <t xml:space="preserve">D12</t>
  </si>
  <si>
    <t xml:space="preserve">사운드 제작 도구</t>
  </si>
  <si>
    <r>
      <rPr>
        <b val="true"/>
        <sz val="10"/>
        <rFont val="Arial"/>
        <family val="0"/>
        <charset val="1"/>
      </rPr>
      <t xml:space="preserve">ElevenLabs. </t>
    </r>
    <r>
      <rPr>
        <b val="true"/>
        <sz val="10"/>
        <rFont val="Noto Sans CJK SC"/>
        <family val="2"/>
      </rPr>
      <t xml:space="preserve">자산마다 어떤 기능을 쓰는지는 「사운드 제작법」 편에</t>
    </r>
  </si>
  <si>
    <r>
      <rPr>
        <sz val="10"/>
        <rFont val="Noto Sans CJK SC"/>
        <family val="2"/>
      </rPr>
      <t xml:space="preserve">직접 녹음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작곡 대비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월 일정에 들어가는 유일한 방법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</si>
  <si>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월에 배경 트랙만 다른 방식으로 다시 뽑을 수 있음</t>
    </r>
  </si>
  <si>
    <r>
      <rPr>
        <sz val="9"/>
        <color rgb="FF808080"/>
        <rFont val="Noto Sans CJK SC"/>
        <family val="2"/>
      </rPr>
      <t xml:space="preserve">※ 전부 개발이 정한 값입니다</t>
    </r>
    <r>
      <rPr>
        <sz val="9"/>
        <color rgb="FF808080"/>
        <rFont val="Arial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확인만 하시면 되고</t>
    </r>
    <r>
      <rPr>
        <sz val="9"/>
        <color rgb="FF808080"/>
        <rFont val="Arial"/>
        <family val="0"/>
        <charset val="1"/>
      </rPr>
      <t xml:space="preserve">, </t>
    </r>
    <r>
      <rPr>
        <sz val="9"/>
        <color rgb="FF808080"/>
        <rFont val="Noto Sans CJK SC"/>
        <family val="2"/>
      </rPr>
      <t xml:space="preserve">이상한 게 보일 때만 말씀 주세요</t>
    </r>
    <r>
      <rPr>
        <sz val="9"/>
        <color rgb="FF808080"/>
        <rFont val="Arial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답을 기다리지 않습니다</t>
    </r>
    <r>
      <rPr>
        <sz val="9"/>
        <color rgb="FF808080"/>
        <rFont val="Arial"/>
        <family val="0"/>
        <charset val="1"/>
      </rPr>
      <t xml:space="preserve">.</t>
    </r>
  </si>
  <si>
    <r>
      <rPr>
        <b val="true"/>
        <sz val="12"/>
        <color rgb="FF1F3864"/>
        <rFont val="Arial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무엇을 어떤 기능으로 만드나</t>
    </r>
  </si>
  <si>
    <t xml:space="preserve">자산</t>
  </si>
  <si>
    <r>
      <rPr>
        <b val="true"/>
        <sz val="10"/>
        <color rgb="FFFFFFFF"/>
        <rFont val="Arial"/>
        <family val="0"/>
        <charset val="1"/>
      </rPr>
      <t xml:space="preserve">ElevenLabs </t>
    </r>
    <r>
      <rPr>
        <b val="true"/>
        <sz val="10"/>
        <color rgb="FFFFFFFF"/>
        <rFont val="Noto Sans CJK SC"/>
        <family val="2"/>
      </rPr>
      <t xml:space="preserve">기능</t>
    </r>
  </si>
  <si>
    <t xml:space="preserve">설정</t>
  </si>
  <si>
    <t xml:space="preserve">비고</t>
  </si>
  <si>
    <r>
      <rPr>
        <b val="true"/>
        <sz val="10"/>
        <rFont val="Noto Sans CJK SC"/>
        <family val="2"/>
      </rPr>
      <t xml:space="preserve">배경 트랙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종 </t>
    </r>
    <r>
      <rPr>
        <b val="true"/>
        <sz val="10"/>
        <rFont val="Arial"/>
        <family val="0"/>
        <charset val="1"/>
      </rPr>
      <t xml:space="preserve">(30</t>
    </r>
    <r>
      <rPr>
        <b val="true"/>
        <sz val="10"/>
        <rFont val="Noto Sans CJK SC"/>
        <family val="2"/>
      </rPr>
      <t xml:space="preserve">초 루프</t>
    </r>
    <r>
      <rPr>
        <b val="true"/>
        <sz val="10"/>
        <rFont val="Arial"/>
        <family val="0"/>
        <charset val="1"/>
      </rPr>
      <t xml:space="preserve">)</t>
    </r>
  </si>
  <si>
    <t xml:space="preserve">Sound Effects</t>
  </si>
  <si>
    <r>
      <rPr>
        <sz val="10"/>
        <rFont val="Arial"/>
        <family val="0"/>
        <charset val="1"/>
      </rPr>
      <t xml:space="preserve">Loop </t>
    </r>
    <r>
      <rPr>
        <sz val="10"/>
        <rFont val="Noto Sans CJK SC"/>
        <family val="2"/>
      </rPr>
      <t xml:space="preserve">켜기 </t>
    </r>
    <r>
      <rPr>
        <sz val="10"/>
        <rFont val="Arial"/>
        <family val="0"/>
        <charset val="1"/>
      </rPr>
      <t xml:space="preserve">· duration 30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· prompt influence 0.6~0.8</t>
    </r>
  </si>
  <si>
    <r>
      <rPr>
        <sz val="10"/>
        <rFont val="Noto Sans CJK SC"/>
        <family val="2"/>
      </rPr>
      <t xml:space="preserve">루프 옵션이 이음새를 없애 줌</t>
    </r>
    <r>
      <rPr>
        <sz val="10"/>
        <rFont val="Arial"/>
        <family val="0"/>
        <charset val="1"/>
      </rPr>
      <t xml:space="preserve">. Music</t>
    </r>
    <r>
      <rPr>
        <sz val="10"/>
        <rFont val="Noto Sans CJK SC"/>
        <family val="2"/>
      </rPr>
      <t xml:space="preserve">은 최대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·WAV</t>
    </r>
    <r>
      <rPr>
        <sz val="10"/>
        <rFont val="Noto Sans CJK SC"/>
        <family val="2"/>
      </rPr>
      <t xml:space="preserve">지만 루프 보장이 없어 마디에 맞춰 직접 잘라야 함</t>
    </r>
  </si>
  <si>
    <r>
      <rPr>
        <b val="true"/>
        <sz val="10"/>
        <rFont val="Arial"/>
        <family val="0"/>
        <charset val="1"/>
      </rPr>
      <t xml:space="preserve">NPC </t>
    </r>
    <r>
      <rPr>
        <b val="true"/>
        <sz val="10"/>
        <rFont val="Noto Sans CJK SC"/>
        <family val="2"/>
      </rPr>
      <t xml:space="preserve">목소리 </t>
    </r>
    <r>
      <rPr>
        <b val="true"/>
        <sz val="10"/>
        <rFont val="Arial"/>
        <family val="0"/>
        <charset val="1"/>
      </rPr>
      <t xml:space="preserve">(1</t>
    </r>
    <r>
      <rPr>
        <b val="true"/>
        <sz val="10"/>
        <rFont val="Noto Sans CJK SC"/>
        <family val="2"/>
      </rPr>
      <t xml:space="preserve">개</t>
    </r>
    <r>
      <rPr>
        <b val="true"/>
        <sz val="10"/>
        <rFont val="Arial"/>
        <family val="0"/>
        <charset val="1"/>
      </rPr>
      <t xml:space="preserve">)</t>
    </r>
  </si>
  <si>
    <t xml:space="preserve">Voice Design</t>
  </si>
  <si>
    <r>
      <rPr>
        <sz val="10"/>
        <rFont val="Noto Sans CJK SC"/>
        <family val="2"/>
      </rPr>
      <t xml:space="preserve">설명 문장으로 목소리를 만들고 「내 목소리」에 저장 → </t>
    </r>
    <r>
      <rPr>
        <sz val="10"/>
        <rFont val="Arial"/>
        <family val="0"/>
        <charset val="1"/>
      </rPr>
      <t xml:space="preserve">voice ID </t>
    </r>
    <r>
      <rPr>
        <sz val="10"/>
        <rFont val="Noto Sans CJK SC"/>
        <family val="2"/>
      </rPr>
      <t xml:space="preserve">고정</t>
    </r>
  </si>
  <si>
    <r>
      <rPr>
        <sz val="10"/>
        <rFont val="Noto Sans CJK SC"/>
        <family val="2"/>
      </rPr>
      <t xml:space="preserve">라이브러리 목소리는 사라질 수 있음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만든 목소리는 계정에 남아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월에도 같은 목소리로 이어 만들 수 있음</t>
    </r>
  </si>
  <si>
    <r>
      <rPr>
        <b val="true"/>
        <sz val="10"/>
        <rFont val="Arial"/>
        <family val="0"/>
        <charset val="1"/>
      </rPr>
      <t xml:space="preserve">Q1 · </t>
    </r>
    <r>
      <rPr>
        <b val="true"/>
        <sz val="10"/>
        <rFont val="Noto Sans CJK SC"/>
        <family val="2"/>
      </rPr>
      <t xml:space="preserve">되묻기 </t>
    </r>
    <r>
      <rPr>
        <b val="true"/>
        <sz val="10"/>
        <rFont val="Arial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채움 </t>
    </r>
    <r>
      <rPr>
        <b val="true"/>
        <sz val="10"/>
        <rFont val="Arial"/>
        <family val="0"/>
        <charset val="1"/>
      </rPr>
      <t xml:space="preserve">2 · </t>
    </r>
    <r>
      <rPr>
        <b val="true"/>
        <sz val="10"/>
        <rFont val="Noto Sans CJK SC"/>
        <family val="2"/>
      </rPr>
      <t xml:space="preserve">사건 대사 </t>
    </r>
    <r>
      <rPr>
        <b val="true"/>
        <sz val="10"/>
        <rFont val="Arial"/>
        <family val="0"/>
        <charset val="1"/>
      </rPr>
      <t xml:space="preserve">4</t>
    </r>
  </si>
  <si>
    <t xml:space="preserve">Text to Speech (Eleven v3)</t>
  </si>
  <si>
    <r>
      <rPr>
        <sz val="10"/>
        <rFont val="Noto Sans CJK SC"/>
        <family val="2"/>
      </rPr>
      <t xml:space="preserve">위 </t>
    </r>
    <r>
      <rPr>
        <sz val="10"/>
        <rFont val="Arial"/>
        <family val="0"/>
        <charset val="1"/>
      </rPr>
      <t xml:space="preserve">voice ID </t>
    </r>
    <r>
      <rPr>
        <sz val="10"/>
        <rFont val="Noto Sans CJK SC"/>
        <family val="2"/>
      </rPr>
      <t xml:space="preserve">고정 </t>
    </r>
    <r>
      <rPr>
        <sz val="10"/>
        <rFont val="Arial"/>
        <family val="0"/>
        <charset val="1"/>
      </rPr>
      <t xml:space="preserve">· Stability </t>
    </r>
    <r>
      <rPr>
        <sz val="10"/>
        <rFont val="Noto Sans CJK SC"/>
        <family val="2"/>
      </rPr>
      <t xml:space="preserve">낮음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중간 </t>
    </r>
    <r>
      <rPr>
        <sz val="10"/>
        <rFont val="Arial"/>
        <family val="0"/>
        <charset val="1"/>
      </rPr>
      <t xml:space="preserve">· Similarity 0.75 · Speed 1.0</t>
    </r>
  </si>
  <si>
    <r>
      <rPr>
        <sz val="10"/>
        <rFont val="Noto Sans CJK SC"/>
        <family val="2"/>
      </rPr>
      <t xml:space="preserve">전부 같은 목소리여야 함</t>
    </r>
    <r>
      <rPr>
        <sz val="10"/>
        <rFont val="Arial"/>
        <family val="0"/>
        <charset val="1"/>
      </rPr>
      <t xml:space="preserve">. v3</t>
    </r>
    <r>
      <rPr>
        <sz val="10"/>
        <rFont val="Noto Sans CJK SC"/>
        <family val="2"/>
      </rPr>
      <t xml:space="preserve">는 감정 태그를 받음</t>
    </r>
  </si>
  <si>
    <r>
      <rPr>
        <b val="true"/>
        <sz val="10"/>
        <rFont val="Noto Sans CJK SC"/>
        <family val="2"/>
      </rPr>
      <t xml:space="preserve">들숨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숨 들이쉬는 소리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</si>
  <si>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Loop </t>
    </r>
    <r>
      <rPr>
        <sz val="10"/>
        <rFont val="Noto Sans CJK SC"/>
        <family val="2"/>
      </rPr>
      <t xml:space="preserve">끄기 </t>
    </r>
    <r>
      <rPr>
        <sz val="10"/>
        <rFont val="Arial"/>
        <family val="0"/>
        <charset val="1"/>
      </rPr>
      <t xml:space="preserve">· duration 1~2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· 3~5</t>
    </r>
    <r>
      <rPr>
        <sz val="10"/>
        <rFont val="Noto Sans CJK SC"/>
        <family val="2"/>
      </rPr>
      <t xml:space="preserve">개 뽑아 목소리와 덜 이질적인 것 채택</t>
    </r>
  </si>
  <si>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</rPr>
      <t xml:space="preserve">에 들숨 전용 태그가 문서에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대안</t>
    </r>
    <r>
      <rPr>
        <sz val="10"/>
        <rFont val="Arial"/>
        <family val="0"/>
        <charset val="1"/>
      </rPr>
      <t xml:space="preserve">: v3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[sighs] </t>
    </r>
    <r>
      <rPr>
        <sz val="10"/>
        <rFont val="Noto Sans CJK SC"/>
        <family val="2"/>
      </rPr>
      <t xml:space="preserve">로 뽑아 앞부분만 잘라 쓰기</t>
    </r>
  </si>
  <si>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Noto Sans CJK SC"/>
        <family val="2"/>
      </rPr>
      <t xml:space="preserve">음성 사건별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종 </t>
    </r>
    <r>
      <rPr>
        <b val="true"/>
        <sz val="10"/>
        <rFont val="Arial"/>
        <family val="0"/>
        <charset val="1"/>
      </rPr>
      <t xml:space="preserve">(9</t>
    </r>
    <r>
      <rPr>
        <b val="true"/>
        <sz val="10"/>
        <rFont val="Noto Sans CJK SC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</si>
  <si>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</t>
    </r>
    <r>
      <rPr>
        <sz val="10"/>
        <rFont val="Arial"/>
        <family val="0"/>
        <charset val="1"/>
      </rPr>
      <t xml:space="preserve">voice ID</t>
    </r>
  </si>
  <si>
    <r>
      <rPr>
        <b val="true"/>
        <sz val="10"/>
        <rFont val="Noto Sans CJK SC"/>
        <family val="2"/>
      </rPr>
      <t xml:space="preserve">문장 층 </t>
    </r>
    <r>
      <rPr>
        <b val="true"/>
        <sz val="10"/>
        <rFont val="Arial"/>
        <family val="0"/>
        <charset val="1"/>
      </rPr>
      <t xml:space="preserve">16</t>
    </r>
    <r>
      <rPr>
        <b val="true"/>
        <sz val="10"/>
        <rFont val="Noto Sans CJK SC"/>
        <family val="2"/>
      </rPr>
      <t xml:space="preserve">벌 </t>
    </r>
    <r>
      <rPr>
        <b val="true"/>
        <sz val="10"/>
        <rFont val="Arial"/>
        <family val="0"/>
        <charset val="1"/>
      </rPr>
      <t xml:space="preserve">· 56</t>
    </r>
    <r>
      <rPr>
        <b val="true"/>
        <sz val="10"/>
        <rFont val="Noto Sans CJK SC"/>
        <family val="2"/>
      </rPr>
      <t xml:space="preserve">줄 </t>
    </r>
    <r>
      <rPr>
        <b val="true"/>
        <sz val="10"/>
        <rFont val="Arial"/>
        <family val="0"/>
        <charset val="1"/>
      </rPr>
      <t xml:space="preserve">(9~10</t>
    </r>
    <r>
      <rPr>
        <b val="true"/>
        <sz val="10"/>
        <rFont val="Noto Sans CJK SC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</t>
    </r>
  </si>
  <si>
    <t xml:space="preserve">개발이 만든 배치 스크립트로 일괄 합성</t>
  </si>
  <si>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줄을 손으로 누르지 않도록 개발이 </t>
    </r>
    <r>
      <rPr>
        <sz val="10"/>
        <rFont val="Arial"/>
        <family val="0"/>
        <charset val="1"/>
      </rPr>
      <t xml:space="preserve">8/13</t>
    </r>
    <r>
      <rPr>
        <sz val="10"/>
        <rFont val="Noto Sans CJK SC"/>
        <family val="2"/>
      </rPr>
      <t xml:space="preserve">까지 스크립트를 만듭니다</t>
    </r>
  </si>
  <si>
    <r>
      <rPr>
        <b val="true"/>
        <sz val="10"/>
        <rFont val="Noto Sans CJK SC"/>
        <family val="2"/>
      </rPr>
      <t xml:space="preserve">버스 소리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종 </t>
    </r>
    <r>
      <rPr>
        <b val="true"/>
        <sz val="10"/>
        <rFont val="Arial"/>
        <family val="0"/>
        <charset val="1"/>
      </rPr>
      <t xml:space="preserve">(10</t>
    </r>
    <r>
      <rPr>
        <b val="true"/>
        <sz val="10"/>
        <rFont val="Noto Sans CJK SC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</si>
  <si>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Loop </t>
    </r>
    <r>
      <rPr>
        <sz val="10"/>
        <rFont val="Noto Sans CJK SC"/>
        <family val="2"/>
      </rPr>
      <t xml:space="preserve">끄기 </t>
    </r>
    <r>
      <rPr>
        <sz val="10"/>
        <rFont val="Arial"/>
        <family val="0"/>
        <charset val="1"/>
      </rPr>
      <t xml:space="preserve">· duration 8~12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· WAV 48kHz · </t>
    </r>
    <r>
      <rPr>
        <sz val="10"/>
        <rFont val="Noto Sans CJK SC"/>
        <family val="2"/>
      </rPr>
      <t xml:space="preserve">모노</t>
    </r>
  </si>
  <si>
    <r>
      <rPr>
        <sz val="10"/>
        <rFont val="Noto Sans CJK SC"/>
        <family val="2"/>
      </rPr>
      <t xml:space="preserve">좌→우 공간화는 코드가 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스테레오면 모노로 내려서 씀</t>
    </r>
  </si>
  <si>
    <r>
      <rPr>
        <b val="true"/>
        <sz val="12"/>
        <color rgb="FF1F3864"/>
        <rFont val="Arial"/>
        <family val="0"/>
        <charset val="1"/>
      </rPr>
      <t xml:space="preserve">2. </t>
    </r>
    <r>
      <rPr>
        <b val="true"/>
        <sz val="12"/>
        <color rgb="FF1F3864"/>
        <rFont val="Noto Sans CJK SC"/>
        <family val="2"/>
      </rPr>
      <t xml:space="preserve">배경 트랙 </t>
    </r>
    <r>
      <rPr>
        <b val="true"/>
        <sz val="12"/>
        <color rgb="FF1F3864"/>
        <rFont val="Arial"/>
        <family val="0"/>
        <charset val="1"/>
      </rPr>
      <t xml:space="preserve">4</t>
    </r>
    <r>
      <rPr>
        <b val="true"/>
        <sz val="12"/>
        <color rgb="FF1F3864"/>
        <rFont val="Noto Sans CJK SC"/>
        <family val="2"/>
      </rPr>
      <t xml:space="preserve">종 — 지켜야 할 것</t>
    </r>
  </si>
  <si>
    <t xml:space="preserve">규칙</t>
  </si>
  <si>
    <t xml:space="preserve">설명</t>
  </si>
  <si>
    <t xml:space="preserve">네 트랙이 동시에 울린다는 것</t>
  </si>
  <si>
    <r>
      <rPr>
        <sz val="10"/>
        <rFont val="Noto Sans CJK SC"/>
        <family val="2"/>
      </rPr>
      <t xml:space="preserve">이 한 가지 때문에 아래 규칙이 생깁니다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어느 순간에도 네 개가 전부 소리를 내고 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볼륨만 달라집니다</t>
    </r>
  </si>
  <si>
    <t xml:space="preserve">① 멜로디 금지</t>
  </si>
  <si>
    <r>
      <rPr>
        <sz val="10"/>
        <rFont val="Noto Sans CJK SC"/>
        <family val="2"/>
      </rPr>
      <t xml:space="preserve">멜로디 네 개가 겹치면 반드시 부딪힙니다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패드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지속음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질감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환경음만</t>
    </r>
  </si>
  <si>
    <t xml:space="preserve">② 박자 있는 소리 금지</t>
  </si>
  <si>
    <r>
      <rPr>
        <sz val="10"/>
        <rFont val="Noto Sans CJK SC"/>
        <family val="2"/>
      </rPr>
      <t xml:space="preserve">드럼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아르페지오를 넣으면 네 트랙의 박자가 어긋납니다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꼭 넣어야 하면 네 트랙 전부 </t>
    </r>
    <r>
      <rPr>
        <sz val="10"/>
        <rFont val="Arial"/>
        <family val="0"/>
        <charset val="1"/>
      </rPr>
      <t xml:space="preserve">72 BPM</t>
    </r>
    <r>
      <rPr>
        <sz val="10"/>
        <rFont val="Noto Sans CJK SC"/>
        <family val="2"/>
      </rPr>
      <t xml:space="preserve">으로 프롬프트에 명시</t>
    </r>
  </si>
  <si>
    <t xml:space="preserve">③ 조성 통일</t>
  </si>
  <si>
    <r>
      <rPr>
        <sz val="10"/>
        <rFont val="Noto Sans CJK SC"/>
        <family val="2"/>
      </rPr>
      <t xml:space="preserve">화성이 들어가면 네 트랙 전부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마이너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프롬프트에 적어 두세요</t>
    </r>
  </si>
  <si>
    <t xml:space="preserve">④ 자리 나누기</t>
  </si>
  <si>
    <r>
      <rPr>
        <sz val="10"/>
        <rFont val="Noto Sans CJK SC"/>
        <family val="2"/>
      </rPr>
      <t xml:space="preserve">공포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낮게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중간 따뜻하게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중간 가볍게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판타지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높고 공기처럼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정밀 분리는 개발이 </t>
    </r>
    <r>
      <rPr>
        <sz val="10"/>
        <rFont val="Arial"/>
        <family val="0"/>
        <charset val="1"/>
      </rPr>
      <t xml:space="preserve">EQ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(D6)</t>
    </r>
  </si>
  <si>
    <t xml:space="preserve">⑤ 음량 맞추기</t>
  </si>
  <si>
    <r>
      <rPr>
        <sz val="10"/>
        <rFont val="Noto Sans CJK SC"/>
        <family val="2"/>
      </rPr>
      <t xml:space="preserve">네 파일의 </t>
    </r>
    <r>
      <rPr>
        <sz val="10"/>
        <rFont val="Arial"/>
        <family val="0"/>
        <charset val="1"/>
      </rPr>
      <t xml:space="preserve">integrated LUFS</t>
    </r>
    <r>
      <rPr>
        <sz val="10"/>
        <rFont val="Noto Sans CJK SC"/>
        <family val="2"/>
      </rPr>
      <t xml:space="preserve">를 같은 값으로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권장 −</t>
    </r>
    <r>
      <rPr>
        <sz val="10"/>
        <rFont val="Arial"/>
        <family val="0"/>
        <charset val="1"/>
      </rPr>
      <t xml:space="preserve">20 LUFS. </t>
    </r>
    <r>
      <rPr>
        <sz val="10"/>
        <rFont val="Noto Sans CJK SC"/>
        <family val="2"/>
      </rPr>
      <t xml:space="preserve">이게 게인 계산의 전제</t>
    </r>
  </si>
  <si>
    <t xml:space="preserve">⑥ 피크</t>
  </si>
  <si>
    <r>
      <rPr>
        <sz val="10"/>
        <rFont val="Noto Sans CJK SC"/>
        <family val="2"/>
      </rPr>
      <t xml:space="preserve">트루 피크 −</t>
    </r>
    <r>
      <rPr>
        <sz val="10"/>
        <rFont val="Arial"/>
        <family val="0"/>
        <charset val="1"/>
      </rPr>
      <t xml:space="preserve">9 dBFS </t>
    </r>
    <r>
      <rPr>
        <sz val="10"/>
        <rFont val="Noto Sans CJK SC"/>
        <family val="2"/>
      </rPr>
      <t xml:space="preserve">이하 목표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못 맞추면 그대로 주고 알려만 주세요 </t>
    </r>
    <r>
      <rPr>
        <sz val="10"/>
        <rFont val="Arial"/>
        <family val="0"/>
        <charset val="1"/>
      </rPr>
      <t xml:space="preserve">(D7)</t>
    </r>
  </si>
  <si>
    <t xml:space="preserve">⑦ 파일</t>
  </si>
  <si>
    <r>
      <rPr>
        <sz val="10"/>
        <rFont val="Noto Sans CJK SC"/>
        <family val="2"/>
      </rPr>
      <t xml:space="preserve">루프는 </t>
    </r>
    <r>
      <rPr>
        <sz val="10"/>
        <rFont val="Arial"/>
        <family val="0"/>
        <charset val="1"/>
      </rPr>
      <t xml:space="preserve">MP3</t>
    </r>
    <r>
      <rPr>
        <sz val="10"/>
        <rFont val="Noto Sans CJK SC"/>
        <family val="2"/>
      </rPr>
      <t xml:space="preserve">만 나옵니다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그대로 주시면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변환은 개발이</t>
    </r>
  </si>
  <si>
    <t xml:space="preserve">⑧ 이름</t>
  </si>
  <si>
    <t xml:space="preserve">bgm_H.mp3 / bgm_R.mp3 / bgm_C.mp3 / bgm_F.mp3</t>
  </si>
  <si>
    <r>
      <rPr>
        <b val="true"/>
        <sz val="12"/>
        <color rgb="FF1F3864"/>
        <rFont val="Arial"/>
        <family val="0"/>
        <charset val="1"/>
      </rPr>
      <t xml:space="preserve">3. </t>
    </r>
    <r>
      <rPr>
        <b val="true"/>
        <sz val="12"/>
        <color rgb="FF1F3864"/>
        <rFont val="Noto Sans CJK SC"/>
        <family val="2"/>
      </rPr>
      <t xml:space="preserve">프롬프트 — 그대로 붙여 넣으시면 됩니다</t>
    </r>
  </si>
  <si>
    <t xml:space="preserve">파일</t>
  </si>
  <si>
    <t xml:space="preserve">용도</t>
  </si>
  <si>
    <t xml:space="preserve">프롬프트</t>
  </si>
  <si>
    <t xml:space="preserve">bgm_H</t>
  </si>
  <si>
    <t xml:space="preserve">공포</t>
  </si>
  <si>
    <t xml:space="preserve">A minor, 72 BPM, dark ambient drone for a deserted night bus stop. Low rumbling sub bass, distant metallic groan, faint cold wind. No melody, no drums, no vocals. Seamless loop.</t>
  </si>
  <si>
    <t xml:space="preserve">bgm_R</t>
  </si>
  <si>
    <t xml:space="preserve">로맨스</t>
  </si>
  <si>
    <t xml:space="preserve">A minor, 72 BPM, warm ambient pad for a quiet night bus stop. Soft sustained strings in the mid range, gentle breath of air, faint distant traffic. No melody, no drums, no vocals. Seamless loop.</t>
  </si>
  <si>
    <t xml:space="preserve">bgm_C</t>
  </si>
  <si>
    <t xml:space="preserve">코미디</t>
  </si>
  <si>
    <t xml:space="preserve">A minor, 72 BPM, light playful ambience. Soft muted pizzicato texture, small wooden ticks, airy and bright. No melody line, no drums, no vocals. Seamless loop.</t>
  </si>
  <si>
    <t xml:space="preserve">bgm_F</t>
  </si>
  <si>
    <t xml:space="preserve">판타지</t>
  </si>
  <si>
    <t xml:space="preserve">A minor, 72 BPM, shimmering ethereal ambience. High airy bell-like partials, slow glassy swells, weightless. No melody, no drums, no vocals. Seamless loop.</t>
  </si>
  <si>
    <r>
      <rPr>
        <b val="true"/>
        <sz val="10"/>
        <rFont val="Arial"/>
        <family val="0"/>
        <charset val="1"/>
      </rPr>
      <t xml:space="preserve">NPC </t>
    </r>
    <r>
      <rPr>
        <b val="true"/>
        <sz val="10"/>
        <rFont val="Noto Sans CJK SC"/>
        <family val="2"/>
      </rPr>
      <t xml:space="preserve">목소리</t>
    </r>
  </si>
  <si>
    <t xml:space="preserve">A calm Korean adult voice, mid-low pitch, soft and slightly worn, unhurried, close-mic intimate tone, neutral emotion, no accent, clean studio recording.</t>
  </si>
  <si>
    <t xml:space="preserve">들숨</t>
  </si>
  <si>
    <t xml:space="preserve">SFX</t>
  </si>
  <si>
    <t xml:space="preserve">A single soft human inhale before speaking, close microphone, intimate, quiet room, no music, no room reverb.</t>
  </si>
  <si>
    <t xml:space="preserve">bus_H / R / C / F</t>
  </si>
  <si>
    <r>
      <rPr>
        <sz val="10"/>
        <rFont val="Arial"/>
        <family val="0"/>
        <charset val="1"/>
      </rPr>
      <t xml:space="preserve">SFX (10</t>
    </r>
    <r>
      <rPr>
        <sz val="10"/>
        <rFont val="Noto Sans CJK SC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</si>
  <si>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 bus approaching and stopping at a night bus stop, air brake hiss, door opening. Close, mono, no music. — </t>
    </r>
    <r>
      <rPr>
        <sz val="10"/>
        <rFont val="Noto Sans CJK SC"/>
        <family val="2"/>
      </rPr>
      <t xml:space="preserve">여기에 장르 색을 한 마디 덧붙이세요 </t>
    </r>
    <r>
      <rPr>
        <sz val="10"/>
        <rFont val="Arial"/>
        <family val="0"/>
        <charset val="1"/>
      </rPr>
      <t xml:space="preserve">(H: old and creaking / R: low and smooth / C: rattling and bouncy / F: quiet and airy with long resonance)</t>
    </r>
  </si>
  <si>
    <r>
      <rPr>
        <b val="true"/>
        <sz val="12"/>
        <color rgb="FF1F3864"/>
        <rFont val="Arial"/>
        <family val="0"/>
        <charset val="1"/>
      </rPr>
      <t xml:space="preserve">4. </t>
    </r>
    <r>
      <rPr>
        <b val="true"/>
        <sz val="12"/>
        <color rgb="FF1F3864"/>
        <rFont val="Noto Sans CJK SC"/>
        <family val="2"/>
      </rPr>
      <t xml:space="preserve">시스템 음성 — 넣을 텍스트</t>
    </r>
  </si>
  <si>
    <r>
      <rPr>
        <b val="true"/>
        <sz val="10"/>
        <color rgb="FFFFFFFF"/>
        <rFont val="Arial"/>
        <family val="0"/>
        <charset val="1"/>
      </rPr>
      <t xml:space="preserve">TTS </t>
    </r>
    <r>
      <rPr>
        <b val="true"/>
        <sz val="10"/>
        <color rgb="FFFFFFFF"/>
        <rFont val="Noto Sans CJK SC"/>
        <family val="2"/>
      </rPr>
      <t xml:space="preserve">입력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태그 포함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</si>
  <si>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Q1</t>
  </si>
  <si>
    <r>
      <rPr>
        <sz val="10"/>
        <rFont val="Arial"/>
        <family val="0"/>
        <charset val="1"/>
      </rPr>
      <t xml:space="preserve">[calm] </t>
    </r>
    <r>
      <rPr>
        <sz val="10"/>
        <rFont val="Noto Sans CJK SC"/>
        <family val="2"/>
      </rPr>
      <t xml:space="preserve">당신은 무엇을 기다리고 있습니까</t>
    </r>
    <r>
      <rPr>
        <sz val="10"/>
        <rFont val="Arial"/>
        <family val="0"/>
        <charset val="1"/>
      </rPr>
      <t xml:space="preserve">?</t>
    </r>
  </si>
  <si>
    <t xml:space="preserve">되묻기</t>
  </si>
  <si>
    <r>
      <rPr>
        <sz val="10"/>
        <rFont val="Arial"/>
        <family val="0"/>
        <charset val="1"/>
      </rPr>
      <t xml:space="preserve">[gently] </t>
    </r>
    <r>
      <rPr>
        <sz val="10"/>
        <rFont val="Noto Sans CJK SC"/>
        <family val="2"/>
      </rPr>
      <t xml:space="preserve">조금 더 말씀해 주시겠어요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</si>
  <si>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채움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</si>
  <si>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[sighs] ...</t>
    </r>
    <r>
      <rPr>
        <sz val="10"/>
        <rFont val="Noto Sans CJK SC"/>
        <family val="2"/>
      </rPr>
      <t xml:space="preserve">음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</si>
  <si>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채움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</si>
  <si>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[quietly] ...</t>
    </r>
    <r>
      <rPr>
        <sz val="10"/>
        <rFont val="Noto Sans CJK SC"/>
        <family val="2"/>
      </rPr>
      <t xml:space="preserve">그렇군요</t>
    </r>
    <r>
      <rPr>
        <sz val="10"/>
        <rFont val="Arial"/>
        <family val="0"/>
        <charset val="1"/>
      </rPr>
      <t xml:space="preserve">.</t>
    </r>
  </si>
  <si>
    <t xml:space="preserve">주의</t>
  </si>
  <si>
    <r>
      <rPr>
        <sz val="10"/>
        <rFont val="Noto Sans CJK SC"/>
        <family val="2"/>
      </rPr>
      <t xml:space="preserve">한국어에서 태그가 안 먹을 수 있습니다</t>
    </r>
    <r>
      <rPr>
        <sz val="10"/>
        <rFont val="Arial"/>
        <family val="0"/>
        <charset val="1"/>
      </rPr>
      <t xml:space="preserve">. 8/11 T6</t>
    </r>
    <r>
      <rPr>
        <sz val="10"/>
        <rFont val="Noto Sans CJK SC"/>
        <family val="2"/>
      </rPr>
      <t xml:space="preserve">에서 확인하고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안 먹으면 태그를 빼고 문장 자체를 바꿔 톤을 만듭니다</t>
    </r>
  </si>
  <si>
    <t xml:space="preserve">분류</t>
  </si>
  <si>
    <t xml:space="preserve">값</t>
  </si>
  <si>
    <r>
      <rPr>
        <b val="true"/>
        <sz val="10"/>
        <rFont val="Arial"/>
        <family val="0"/>
        <charset val="1"/>
      </rPr>
      <t xml:space="preserve">3D </t>
    </r>
    <r>
      <rPr>
        <b val="true"/>
        <sz val="10"/>
        <rFont val="Noto Sans CJK SC"/>
        <family val="2"/>
      </rPr>
      <t xml:space="preserve">규약</t>
    </r>
  </si>
  <si>
    <t xml:space="preserve">파일 형식</t>
  </si>
  <si>
    <t xml:space="preserve">GLB (glTF 2.0 binary)</t>
  </si>
  <si>
    <r>
      <rPr>
        <sz val="10"/>
        <rFont val="Noto Sans CJK SC"/>
        <family val="2"/>
      </rPr>
      <t xml:space="preserve">축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단위</t>
    </r>
  </si>
  <si>
    <r>
      <rPr>
        <sz val="10"/>
        <rFont val="Arial"/>
        <family val="0"/>
        <charset val="1"/>
      </rPr>
      <t xml:space="preserve">Y-up, </t>
    </r>
    <r>
      <rPr>
        <sz val="10"/>
        <rFont val="Noto Sans CJK SC"/>
        <family val="2"/>
      </rPr>
      <t xml:space="preserve">미터</t>
    </r>
    <r>
      <rPr>
        <sz val="10"/>
        <rFont val="Arial"/>
        <family val="0"/>
        <charset val="1"/>
      </rPr>
      <t xml:space="preserve">. 1 unit = 1m</t>
    </r>
  </si>
  <si>
    <t xml:space="preserve">씬 원점</t>
  </si>
  <si>
    <r>
      <rPr>
        <sz val="10"/>
        <rFont val="Noto Sans CJK SC"/>
        <family val="2"/>
      </rPr>
      <t xml:space="preserve">벤치 착석 지점 바닥 </t>
    </r>
    <r>
      <rPr>
        <sz val="10"/>
        <rFont val="Arial"/>
        <family val="0"/>
        <charset val="1"/>
      </rPr>
      <t xml:space="preserve">= (0, 0, 0)</t>
    </r>
  </si>
  <si>
    <t xml:space="preserve">관객 눈높이</t>
  </si>
  <si>
    <r>
      <rPr>
        <sz val="10"/>
        <rFont val="Noto Sans CJK SC"/>
        <family val="2"/>
      </rPr>
      <t xml:space="preserve">앉은 자세 </t>
    </r>
    <r>
      <rPr>
        <sz val="10"/>
        <rFont val="Arial"/>
        <family val="0"/>
        <charset val="1"/>
      </rPr>
      <t xml:space="preserve">Y = 1.15m</t>
    </r>
  </si>
  <si>
    <t xml:space="preserve">서 있는 시점 아님</t>
  </si>
  <si>
    <t xml:space="preserve">피벗</t>
  </si>
  <si>
    <t xml:space="preserve">바닥 접지면 중앙</t>
  </si>
  <si>
    <t xml:space="preserve">텍스처</t>
  </si>
  <si>
    <r>
      <rPr>
        <sz val="10"/>
        <rFont val="Arial"/>
        <family val="0"/>
        <charset val="1"/>
      </rPr>
      <t xml:space="preserve">PNG / JPG, </t>
    </r>
    <r>
      <rPr>
        <sz val="10"/>
        <rFont val="Noto Sans CJK SC"/>
        <family val="2"/>
      </rPr>
      <t xml:space="preserve">한 장 최대 </t>
    </r>
    <r>
      <rPr>
        <sz val="10"/>
        <rFont val="Arial"/>
        <family val="0"/>
        <charset val="1"/>
      </rPr>
      <t xml:space="preserve">2048 × 2048</t>
    </r>
  </si>
  <si>
    <t xml:space="preserve">애니메이션</t>
  </si>
  <si>
    <t xml:space="preserve">루트 모션 없음</t>
  </si>
  <si>
    <t xml:space="preserve">위치는 코드가 제어</t>
  </si>
  <si>
    <t xml:space="preserve">폴리곤 상한</t>
  </si>
  <si>
    <r>
      <rPr>
        <sz val="10"/>
        <rFont val="Noto Sans CJK SC"/>
        <family val="2"/>
      </rPr>
      <t xml:space="preserve">미정 — </t>
    </r>
    <r>
      <rPr>
        <sz val="10"/>
        <rFont val="Arial"/>
        <family val="0"/>
        <charset val="1"/>
      </rPr>
      <t xml:space="preserve">8/17 T4 </t>
    </r>
    <r>
      <rPr>
        <sz val="10"/>
        <rFont val="Noto Sans CJK SC"/>
        <family val="2"/>
      </rPr>
      <t xml:space="preserve">실측 후</t>
    </r>
  </si>
  <si>
    <t xml:space="preserve">그때까지 신경 쓰지 말 것</t>
  </si>
  <si>
    <t xml:space="preserve">파일 명명</t>
  </si>
  <si>
    <t xml:space="preserve">조명 프리셋</t>
  </si>
  <si>
    <t xml:space="preserve">lp_neutral / lp_H / lp_R / lp_C / lp_F</t>
  </si>
  <si>
    <t xml:space="preserve">에디터에서 이 이름으로 저장</t>
  </si>
  <si>
    <r>
      <rPr>
        <sz val="10"/>
        <rFont val="Arial"/>
        <family val="0"/>
        <charset val="1"/>
      </rPr>
      <t xml:space="preserve">3D </t>
    </r>
    <r>
      <rPr>
        <sz val="10"/>
        <rFont val="Noto Sans CJK SC"/>
        <family val="2"/>
      </rPr>
      <t xml:space="preserve">소품</t>
    </r>
  </si>
  <si>
    <r>
      <rPr>
        <sz val="10"/>
        <rFont val="Arial"/>
        <family val="0"/>
        <charset val="1"/>
      </rPr>
      <t xml:space="preserve">prop_{</t>
    </r>
    <r>
      <rPr>
        <sz val="10"/>
        <rFont val="Noto Sans CJK SC"/>
        <family val="2"/>
      </rPr>
      <t xml:space="preserve">이름</t>
    </r>
    <r>
      <rPr>
        <sz val="10"/>
        <rFont val="Arial"/>
        <family val="0"/>
        <charset val="1"/>
      </rPr>
      <t xml:space="preserve">}.glb</t>
    </r>
  </si>
  <si>
    <t xml:space="preserve">장르 소품</t>
  </si>
  <si>
    <r>
      <rPr>
        <sz val="10"/>
        <rFont val="Arial"/>
        <family val="0"/>
        <charset val="1"/>
      </rPr>
      <t xml:space="preserve">prop_{</t>
    </r>
    <r>
      <rPr>
        <sz val="10"/>
        <rFont val="Noto Sans CJK SC"/>
        <family val="2"/>
      </rPr>
      <t xml:space="preserve">장르</t>
    </r>
    <r>
      <rPr>
        <sz val="10"/>
        <rFont val="Arial"/>
        <family val="0"/>
        <charset val="1"/>
      </rPr>
      <t xml:space="preserve">}.glb</t>
    </r>
  </si>
  <si>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애니메이션</t>
    </r>
  </si>
  <si>
    <r>
      <rPr>
        <sz val="10"/>
        <rFont val="Arial"/>
        <family val="0"/>
        <charset val="1"/>
      </rPr>
      <t xml:space="preserve">att_{</t>
    </r>
    <r>
      <rPr>
        <sz val="10"/>
        <rFont val="Noto Sans CJK SC"/>
        <family val="2"/>
      </rPr>
      <t xml:space="preserve">장르</t>
    </r>
    <r>
      <rPr>
        <sz val="10"/>
        <rFont val="Arial"/>
        <family val="0"/>
        <charset val="1"/>
      </rPr>
      <t xml:space="preserve">}.glb , att_neutral.glb</t>
    </r>
  </si>
  <si>
    <t xml:space="preserve">버스</t>
  </si>
  <si>
    <r>
      <rPr>
        <sz val="10"/>
        <rFont val="Arial"/>
        <family val="0"/>
        <charset val="1"/>
      </rPr>
      <t xml:space="preserve">bus_{</t>
    </r>
    <r>
      <rPr>
        <sz val="10"/>
        <rFont val="Noto Sans CJK SC"/>
        <family val="2"/>
      </rPr>
      <t xml:space="preserve">장르</t>
    </r>
    <r>
      <rPr>
        <sz val="10"/>
        <rFont val="Arial"/>
        <family val="0"/>
        <charset val="1"/>
      </rPr>
      <t xml:space="preserve">}.glb / bus_{</t>
    </r>
    <r>
      <rPr>
        <sz val="10"/>
        <rFont val="Noto Sans CJK SC"/>
        <family val="2"/>
      </rPr>
      <t xml:space="preserve">장르</t>
    </r>
    <r>
      <rPr>
        <sz val="10"/>
        <rFont val="Arial"/>
        <family val="0"/>
        <charset val="1"/>
      </rPr>
      <t xml:space="preserve">}.wav</t>
    </r>
  </si>
  <si>
    <t xml:space="preserve">배경 트랙</t>
  </si>
  <si>
    <t xml:space="preserve">bgm_H / bgm_R / bgm_C / bgm_F (.mp3)</t>
  </si>
  <si>
    <t xml:space="preserve">장르 코드</t>
  </si>
  <si>
    <r>
      <rPr>
        <sz val="10"/>
        <rFont val="Arial"/>
        <family val="0"/>
        <charset val="1"/>
      </rPr>
      <t xml:space="preserve">H(</t>
    </r>
    <r>
      <rPr>
        <sz val="10"/>
        <rFont val="Noto Sans CJK SC"/>
        <family val="2"/>
      </rPr>
      <t xml:space="preserve">공포</t>
    </r>
    <r>
      <rPr>
        <sz val="10"/>
        <rFont val="Arial"/>
        <family val="0"/>
        <charset val="1"/>
      </rPr>
      <t xml:space="preserve">)  R(</t>
    </r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)  C(</t>
    </r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)  F(</t>
    </r>
    <r>
      <rPr>
        <sz val="10"/>
        <rFont val="Noto Sans CJK SC"/>
        <family val="2"/>
      </rPr>
      <t xml:space="preserve">판타지</t>
    </r>
    <r>
      <rPr>
        <sz val="10"/>
        <rFont val="Arial"/>
        <family val="0"/>
        <charset val="1"/>
      </rPr>
      <t xml:space="preserve">)</t>
    </r>
  </si>
  <si>
    <t xml:space="preserve">조명</t>
  </si>
  <si>
    <t xml:space="preserve">방식</t>
  </si>
  <si>
    <r>
      <rPr>
        <sz val="10"/>
        <rFont val="Arial"/>
        <family val="0"/>
        <charset val="1"/>
      </rPr>
      <t xml:space="preserve">PlayCanvas </t>
    </r>
    <r>
      <rPr>
        <sz val="10"/>
        <rFont val="Noto Sans CJK SC"/>
        <family val="2"/>
      </rPr>
      <t xml:space="preserve">실시간 조명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경로 </t>
    </r>
    <r>
      <rPr>
        <sz val="10"/>
        <rFont val="Arial"/>
        <family val="0"/>
        <charset val="1"/>
      </rPr>
      <t xml:space="preserve">B)</t>
    </r>
  </si>
  <si>
    <r>
      <rPr>
        <sz val="10"/>
        <rFont val="Arial"/>
        <family val="0"/>
        <charset val="1"/>
      </rPr>
      <t xml:space="preserve">D1. </t>
    </r>
    <r>
      <rPr>
        <sz val="10"/>
        <rFont val="Noto Sans CJK SC"/>
        <family val="2"/>
      </rPr>
      <t xml:space="preserve">라이트맵 베이크 없음</t>
    </r>
  </si>
  <si>
    <t xml:space="preserve">만드는 곳</t>
  </si>
  <si>
    <r>
      <rPr>
        <sz val="10"/>
        <rFont val="Arial"/>
        <family val="0"/>
        <charset val="1"/>
      </rPr>
      <t xml:space="preserve">PlayCanvas </t>
    </r>
    <r>
      <rPr>
        <sz val="10"/>
        <rFont val="Noto Sans CJK SC"/>
        <family val="2"/>
      </rPr>
      <t xml:space="preserve">에디터에서 직접 조절 → 「저장」</t>
    </r>
  </si>
  <si>
    <r>
      <rPr>
        <sz val="10"/>
        <rFont val="Arial"/>
        <family val="0"/>
        <charset val="1"/>
      </rPr>
      <t xml:space="preserve">D2. </t>
    </r>
    <r>
      <rPr>
        <sz val="10"/>
        <rFont val="Noto Sans CJK SC"/>
        <family val="2"/>
      </rPr>
      <t xml:space="preserve">숫자 표 없음</t>
    </r>
  </si>
  <si>
    <t xml:space="preserve">프리셋 개수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</si>
  <si>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세트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중립 </t>
    </r>
    <r>
      <rPr>
        <sz val="10"/>
        <rFont val="Arial"/>
        <family val="0"/>
        <charset val="1"/>
      </rPr>
      <t xml:space="preserve">1 + </t>
    </r>
    <r>
      <rPr>
        <sz val="10"/>
        <rFont val="Noto Sans CJK SC"/>
        <family val="2"/>
      </rPr>
      <t xml:space="preserve">순수 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</si>
  <si>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조합 프리셋</t>
    </r>
    <r>
      <rPr>
        <sz val="10"/>
        <rFont val="Arial"/>
        <family val="0"/>
        <charset val="1"/>
      </rPr>
      <t xml:space="preserve">(lp_R-H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만들지 않음</t>
    </r>
  </si>
  <si>
    <t xml:space="preserve">중립의 유일한 조건</t>
  </si>
  <si>
    <t xml:space="preserve">네 장르 어느 쪽으로 넘어가도 자연스러운 출발점</t>
  </si>
  <si>
    <t xml:space="preserve">공포 쪽으로 기울면 로맨스 전환이 어색</t>
  </si>
  <si>
    <t xml:space="preserve">전환 시점</t>
  </si>
  <si>
    <r>
      <rPr>
        <sz val="10"/>
        <rFont val="Arial"/>
        <family val="0"/>
        <charset val="1"/>
      </rPr>
      <t xml:space="preserve">0:00–1:40 </t>
    </r>
    <r>
      <rPr>
        <sz val="10"/>
        <rFont val="Noto Sans CJK SC"/>
        <family val="2"/>
      </rPr>
      <t xml:space="preserve">중립 → </t>
    </r>
    <r>
      <rPr>
        <sz val="10"/>
        <rFont val="Arial"/>
        <family val="0"/>
        <charset val="1"/>
      </rPr>
      <t xml:space="preserve">1:40 </t>
    </r>
    <r>
      <rPr>
        <sz val="10"/>
        <rFont val="Noto Sans CJK SC"/>
        <family val="2"/>
      </rPr>
      <t xml:space="preserve">사건</t>
    </r>
    <r>
      <rPr>
        <sz val="10"/>
        <rFont val="Arial"/>
        <family val="0"/>
        <charset val="1"/>
      </rPr>
      <t xml:space="preserve">(4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 → 5:10 </t>
    </r>
    <r>
      <rPr>
        <sz val="10"/>
        <rFont val="Noto Sans CJK SC"/>
        <family val="2"/>
      </rPr>
      <t xml:space="preserve">사건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태도</t>
    </r>
    <r>
      <rPr>
        <sz val="10"/>
        <rFont val="Arial"/>
        <family val="0"/>
        <charset val="1"/>
      </rPr>
      <t xml:space="preserve">(6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</si>
  <si>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체험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 가정 </t>
    </r>
    <r>
      <rPr>
        <sz val="10"/>
        <rFont val="Arial"/>
        <family val="0"/>
        <charset val="1"/>
      </rPr>
      <t xml:space="preserve">(D11)</t>
    </r>
  </si>
  <si>
    <t xml:space="preserve">오디오</t>
  </si>
  <si>
    <t xml:space="preserve">제작 도구</t>
  </si>
  <si>
    <t xml:space="preserve">ElevenLabs</t>
  </si>
  <si>
    <t xml:space="preserve">「사운드 제작법」 편 참조</t>
  </si>
  <si>
    <t xml:space="preserve">트랙 수</t>
  </si>
  <si>
    <r>
      <rPr>
        <sz val="10"/>
        <rFont val="Arial"/>
        <family val="0"/>
        <charset val="1"/>
      </rPr>
      <t xml:space="preserve">4 (</t>
    </r>
    <r>
      <rPr>
        <sz val="10"/>
        <rFont val="Noto Sans CJK SC"/>
        <family val="2"/>
      </rPr>
      <t xml:space="preserve">공포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로맨스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코미디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판타지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</si>
  <si>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네 개가 상시 재생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볼륨만 바뀜</t>
    </r>
  </si>
  <si>
    <t xml:space="preserve">길이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</si>
  <si>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이음새 없는 루프</t>
    </r>
  </si>
  <si>
    <r>
      <rPr>
        <sz val="10"/>
        <rFont val="Arial"/>
        <family val="0"/>
        <charset val="1"/>
      </rPr>
      <t xml:space="preserve">SFX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Loop </t>
    </r>
    <r>
      <rPr>
        <sz val="10"/>
        <rFont val="Noto Sans CJK SC"/>
        <family val="2"/>
      </rPr>
      <t xml:space="preserve">옵션 사용</t>
    </r>
  </si>
  <si>
    <t xml:space="preserve">형식</t>
  </si>
  <si>
    <r>
      <rPr>
        <sz val="10"/>
        <rFont val="Arial"/>
        <family val="0"/>
        <charset val="1"/>
      </rPr>
      <t xml:space="preserve">MP3 </t>
    </r>
    <r>
      <rPr>
        <sz val="10"/>
        <rFont val="Noto Sans CJK SC"/>
        <family val="2"/>
      </rPr>
      <t xml:space="preserve">그대로 제출</t>
    </r>
  </si>
  <si>
    <t xml:space="preserve">변환은 개발이</t>
  </si>
  <si>
    <t xml:space="preserve">음량 정규화</t>
  </si>
  <si>
    <r>
      <rPr>
        <sz val="10"/>
        <rFont val="Noto Sans CJK SC"/>
        <family val="2"/>
      </rPr>
      <t xml:space="preserve">네 트랙의 </t>
    </r>
    <r>
      <rPr>
        <sz val="10"/>
        <rFont val="Arial"/>
        <family val="0"/>
        <charset val="1"/>
      </rPr>
      <t xml:space="preserve">integrated LUFS </t>
    </r>
    <r>
      <rPr>
        <sz val="10"/>
        <rFont val="Noto Sans CJK SC"/>
        <family val="2"/>
      </rPr>
      <t xml:space="preserve">동일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권장 −</t>
    </r>
    <r>
      <rPr>
        <sz val="10"/>
        <rFont val="Arial"/>
        <family val="0"/>
        <charset val="1"/>
      </rPr>
      <t xml:space="preserve">20 LUFS)</t>
    </r>
  </si>
  <si>
    <t xml:space="preserve">게인 계산이 이 전제로 돌아감</t>
  </si>
  <si>
    <t xml:space="preserve">피크 헤드룸</t>
  </si>
  <si>
    <r>
      <rPr>
        <sz val="10"/>
        <rFont val="Arial"/>
        <family val="0"/>
        <charset val="1"/>
      </rPr>
      <t xml:space="preserve">−9 dBFS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못 맞춰도 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</si>
  <si>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D7. </t>
    </r>
    <r>
      <rPr>
        <sz val="10"/>
        <rFont val="Noto Sans CJK SC"/>
        <family val="2"/>
      </rPr>
      <t xml:space="preserve">개발이 리미터로 받음</t>
    </r>
  </si>
  <si>
    <t xml:space="preserve">주파수 대역</t>
  </si>
  <si>
    <t xml:space="preserve">사운드는 신경 쓰지 않음</t>
  </si>
  <si>
    <r>
      <rPr>
        <sz val="10"/>
        <rFont val="Arial"/>
        <family val="0"/>
        <charset val="1"/>
      </rPr>
      <t xml:space="preserve">D6. </t>
    </r>
    <r>
      <rPr>
        <sz val="10"/>
        <rFont val="Noto Sans CJK SC"/>
        <family val="2"/>
      </rPr>
      <t xml:space="preserve">개발이 런타임 </t>
    </r>
    <r>
      <rPr>
        <sz val="10"/>
        <rFont val="Arial"/>
        <family val="0"/>
        <charset val="1"/>
      </rPr>
      <t xml:space="preserve">EQ</t>
    </r>
    <r>
      <rPr>
        <sz val="10"/>
        <rFont val="Noto Sans CJK SC"/>
        <family val="2"/>
      </rPr>
      <t xml:space="preserve">로</t>
    </r>
  </si>
  <si>
    <t xml:space="preserve">섞이는 조합</t>
  </si>
  <si>
    <r>
      <rPr>
        <sz val="10"/>
        <rFont val="Arial"/>
        <family val="0"/>
        <charset val="1"/>
      </rPr>
      <t xml:space="preserve">13</t>
    </r>
    <r>
      <rPr>
        <sz val="10"/>
        <rFont val="Noto Sans CJK SC"/>
        <family val="2"/>
      </rPr>
      <t xml:space="preserve">가지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두 트랙 </t>
    </r>
    <r>
      <rPr>
        <sz val="10"/>
        <rFont val="Arial"/>
        <family val="0"/>
        <charset val="1"/>
      </rPr>
      <t xml:space="preserve">12 + </t>
    </r>
    <r>
      <rPr>
        <sz val="10"/>
        <rFont val="Noto Sans CJK SC"/>
        <family val="2"/>
      </rPr>
      <t xml:space="preserve">네 트랙 균등 </t>
    </r>
    <r>
      <rPr>
        <sz val="10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</si>
  <si>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네 트랙 조합이 가장 까다로움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이것부터 확인</t>
    </r>
  </si>
  <si>
    <t xml:space="preserve">버스 소리</t>
  </si>
  <si>
    <t xml:space="preserve">모노 또는 좌우가 붙어 있지 않은 소스</t>
  </si>
  <si>
    <t xml:space="preserve">별도 채널로 좌→우 공간화</t>
  </si>
  <si>
    <r>
      <rPr>
        <sz val="10"/>
        <rFont val="Arial"/>
        <family val="0"/>
        <charset val="1"/>
      </rPr>
      <t xml:space="preserve">NPC </t>
    </r>
    <r>
      <rPr>
        <sz val="10"/>
        <rFont val="Noto Sans CJK SC"/>
        <family val="2"/>
      </rPr>
      <t xml:space="preserve">목소리</t>
    </r>
  </si>
  <si>
    <r>
      <rPr>
        <sz val="10"/>
        <rFont val="Arial"/>
        <family val="0"/>
        <charset val="1"/>
      </rPr>
      <t xml:space="preserve">Voice Design</t>
    </r>
    <r>
      <rPr>
        <sz val="10"/>
        <rFont val="Noto Sans CJK SC"/>
        <family val="2"/>
      </rPr>
      <t xml:space="preserve">으로 만든 </t>
    </r>
    <r>
      <rPr>
        <sz val="10"/>
        <rFont val="Arial"/>
        <family val="0"/>
        <charset val="1"/>
      </rPr>
      <t xml:space="preserve">voice ID </t>
    </r>
    <r>
      <rPr>
        <sz val="10"/>
        <rFont val="Noto Sans CJK SC"/>
        <family val="2"/>
      </rPr>
      <t xml:space="preserve">하나로 전부</t>
    </r>
  </si>
  <si>
    <r>
      <rPr>
        <sz val="10"/>
        <rFont val="Noto Sans CJK SC"/>
        <family val="2"/>
      </rPr>
      <t xml:space="preserve">여기에 적어 두세요 → </t>
    </r>
    <r>
      <rPr>
        <sz val="10"/>
        <rFont val="Arial"/>
        <family val="0"/>
        <charset val="1"/>
      </rPr>
      <t xml:space="preserve">(voice ID:            )</t>
    </r>
  </si>
  <si>
    <t xml:space="preserve">표지판</t>
  </si>
  <si>
    <t xml:space="preserve">구조</t>
  </si>
  <si>
    <r>
      <rPr>
        <sz val="10"/>
        <rFont val="Noto Sans CJK SC"/>
        <family val="2"/>
      </rPr>
      <t xml:space="preserve">이름 자리를 평면 사각형 하나로 분리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별도 머티리얼</t>
    </r>
    <r>
      <rPr>
        <sz val="10"/>
        <rFont val="Arial"/>
        <family val="0"/>
        <charset val="1"/>
      </rPr>
      <t xml:space="preserve">)</t>
    </r>
  </si>
  <si>
    <t xml:space="preserve">UV</t>
  </si>
  <si>
    <r>
      <rPr>
        <sz val="10"/>
        <rFont val="Noto Sans CJK SC"/>
        <family val="2"/>
      </rPr>
      <t xml:space="preserve">그 면의 </t>
    </r>
    <r>
      <rPr>
        <sz val="10"/>
        <rFont val="Arial"/>
        <family val="0"/>
        <charset val="1"/>
      </rPr>
      <t xml:space="preserve">UV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0~1 </t>
    </r>
    <r>
      <rPr>
        <sz val="10"/>
        <rFont val="Noto Sans CJK SC"/>
        <family val="2"/>
      </rPr>
      <t xml:space="preserve">전체로 펴기</t>
    </r>
  </si>
  <si>
    <t xml:space="preserve">코드가 면 전체에 글자 이미지를 그림</t>
  </si>
  <si>
    <r>
      <rPr>
        <sz val="10"/>
        <rFont val="Noto Sans CJK SC"/>
        <family val="2"/>
      </rPr>
      <t xml:space="preserve">글자 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서체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크기</t>
    </r>
  </si>
  <si>
    <r>
      <rPr>
        <sz val="10"/>
        <rFont val="Arial"/>
        <family val="0"/>
        <charset val="1"/>
      </rPr>
      <t xml:space="preserve">#F5F2E8 / Pretendard Bold / </t>
    </r>
    <r>
      <rPr>
        <sz val="10"/>
        <rFont val="Noto Sans CJK SC"/>
        <family val="2"/>
      </rPr>
      <t xml:space="preserve">면 높이의 </t>
    </r>
    <r>
      <rPr>
        <sz val="10"/>
        <rFont val="Arial"/>
        <family val="0"/>
        <charset val="1"/>
      </rPr>
      <t xml:space="preserve">45%</t>
    </r>
  </si>
  <si>
    <r>
      <rPr>
        <sz val="10"/>
        <rFont val="Arial"/>
        <family val="0"/>
        <charset val="1"/>
      </rPr>
      <t xml:space="preserve">D5. </t>
    </r>
    <r>
      <rPr>
        <sz val="10"/>
        <rFont val="Noto Sans CJK SC"/>
        <family val="2"/>
      </rPr>
      <t xml:space="preserve">코드가 그림</t>
    </r>
  </si>
  <si>
    <t xml:space="preserve">노출 구간</t>
  </si>
  <si>
    <r>
      <rPr>
        <sz val="10"/>
        <rFont val="Noto Sans CJK SC"/>
        <family val="2"/>
      </rPr>
      <t xml:space="preserve">체험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초 뒤부터 끝까지</t>
    </r>
  </si>
  <si>
    <r>
      <rPr>
        <sz val="10"/>
        <rFont val="Noto Sans CJK SC"/>
        <family val="2"/>
      </rPr>
      <t xml:space="preserve">중립 조명에서도 읽혀야 함 → </t>
    </r>
    <r>
      <rPr>
        <sz val="10"/>
        <rFont val="Arial"/>
        <family val="0"/>
        <charset val="1"/>
      </rPr>
      <t xml:space="preserve">T2</t>
    </r>
    <r>
      <rPr>
        <sz val="10"/>
        <rFont val="Noto Sans CJK SC"/>
        <family val="2"/>
      </rPr>
      <t xml:space="preserve">가 두 조건</t>
    </r>
  </si>
  <si>
    <t xml:space="preserve">나머지 디자인</t>
  </si>
  <si>
    <r>
      <rPr>
        <sz val="10"/>
        <rFont val="Noto Sans CJK SC"/>
        <family val="2"/>
      </rPr>
      <t xml:space="preserve">노선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낡음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벗겨진 코팅 등 전부 자유</t>
    </r>
  </si>
  <si>
    <t xml:space="preserve">NPC</t>
  </si>
  <si>
    <t xml:space="preserve">클립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</si>
  <si>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종 — </t>
    </r>
    <r>
      <rPr>
        <sz val="10"/>
        <rFont val="Arial"/>
        <family val="0"/>
        <charset val="1"/>
      </rPr>
      <t xml:space="preserve">att_horror / romance / comedy / fantasy / neutral</t>
    </r>
  </si>
  <si>
    <t xml:space="preserve">얼굴 표정</t>
  </si>
  <si>
    <t xml:space="preserve">만들지 않음</t>
  </si>
  <si>
    <t xml:space="preserve">리그 조건</t>
  </si>
  <si>
    <t xml:space="preserve">① 머리 본을 이름으로 노출  ② 루트 모션 없음  ③ 루프</t>
  </si>
  <si>
    <t xml:space="preserve">코드가 제어</t>
  </si>
  <si>
    <r>
      <rPr>
        <sz val="10"/>
        <rFont val="Noto Sans CJK SC"/>
        <family val="2"/>
      </rPr>
      <t xml:space="preserve">시선 </t>
    </r>
    <r>
      <rPr>
        <sz val="10"/>
        <rFont val="Arial"/>
        <family val="0"/>
        <charset val="1"/>
      </rPr>
      <t xml:space="preserve">0.0~1.0 · </t>
    </r>
    <r>
      <rPr>
        <sz val="10"/>
        <rFont val="Noto Sans CJK SC"/>
        <family val="2"/>
      </rPr>
      <t xml:space="preserve">거리 </t>
    </r>
    <r>
      <rPr>
        <sz val="10"/>
        <rFont val="Arial"/>
        <family val="0"/>
        <charset val="1"/>
      </rPr>
      <t xml:space="preserve">0.5~1.4m · </t>
    </r>
    <r>
      <rPr>
        <sz val="10"/>
        <rFont val="Noto Sans CJK SC"/>
        <family val="2"/>
      </rPr>
      <t xml:space="preserve">침묵 </t>
    </r>
    <r>
      <rPr>
        <sz val="10"/>
        <rFont val="Arial"/>
        <family val="0"/>
        <charset val="1"/>
      </rPr>
      <t xml:space="preserve">0.4~2.5</t>
    </r>
    <r>
      <rPr>
        <sz val="10"/>
        <rFont val="Noto Sans CJK SC"/>
        <family val="2"/>
      </rPr>
      <t xml:space="preserve">초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볼륨 </t>
    </r>
    <r>
      <rPr>
        <sz val="10"/>
        <rFont val="Arial"/>
        <family val="0"/>
        <charset val="1"/>
      </rPr>
      <t xml:space="preserve">0.75~1.10</t>
    </r>
  </si>
  <si>
    <t xml:space="preserve">아트는 신경 쓰지 않아도 됨</t>
  </si>
  <si>
    <t xml:space="preserve">대사</t>
  </si>
  <si>
    <t xml:space="preserve">문장 층</t>
  </si>
  <si>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사건 </t>
    </r>
    <r>
      <rPr>
        <sz val="10"/>
        <rFont val="Arial"/>
        <family val="0"/>
        <charset val="1"/>
      </rPr>
      <t xml:space="preserve">4 × </t>
    </r>
    <r>
      <rPr>
        <sz val="10"/>
        <rFont val="Noto Sans CJK SC"/>
        <family val="2"/>
      </rPr>
      <t xml:space="preserve">태도 </t>
    </r>
    <r>
      <rPr>
        <sz val="10"/>
        <rFont val="Arial"/>
        <family val="0"/>
        <charset val="1"/>
      </rPr>
      <t xml:space="preserve">4), </t>
    </r>
    <r>
      <rPr>
        <sz val="10"/>
        <rFont val="Noto Sans CJK SC"/>
        <family val="2"/>
      </rPr>
      <t xml:space="preserve">배합당 </t>
    </r>
    <r>
      <rPr>
        <sz val="10"/>
        <rFont val="Arial"/>
        <family val="0"/>
        <charset val="1"/>
      </rPr>
      <t xml:space="preserve">3~4</t>
    </r>
    <r>
      <rPr>
        <sz val="10"/>
        <rFont val="Noto Sans CJK SC"/>
        <family val="2"/>
      </rPr>
      <t xml:space="preserve">줄 ≒ </t>
    </r>
    <r>
      <rPr>
        <sz val="10"/>
        <rFont val="Arial"/>
        <family val="0"/>
        <charset val="1"/>
      </rPr>
      <t xml:space="preserve">56</t>
    </r>
    <r>
      <rPr>
        <sz val="10"/>
        <rFont val="Noto Sans CJK SC"/>
        <family val="2"/>
      </rPr>
      <t xml:space="preserve">줄</t>
    </r>
  </si>
  <si>
    <t xml:space="preserve">이 숫자가 기준</t>
  </si>
  <si>
    <t xml:space="preserve">초안</t>
  </si>
  <si>
    <r>
      <rPr>
        <sz val="10"/>
        <rFont val="Noto Sans CJK SC"/>
        <family val="2"/>
      </rPr>
      <t xml:space="preserve">개발이 </t>
    </r>
    <r>
      <rPr>
        <sz val="10"/>
        <rFont val="Arial"/>
        <family val="0"/>
        <charset val="1"/>
      </rPr>
      <t xml:space="preserve">LLM</t>
    </r>
    <r>
      <rPr>
        <sz val="10"/>
        <rFont val="Noto Sans CJK SC"/>
        <family val="2"/>
      </rPr>
      <t xml:space="preserve">으로 후보를 뽑아 드림</t>
    </r>
  </si>
  <si>
    <r>
      <rPr>
        <sz val="10"/>
        <rFont val="Arial"/>
        <family val="0"/>
        <charset val="1"/>
      </rPr>
      <t xml:space="preserve">D9. </t>
    </r>
    <r>
      <rPr>
        <sz val="10"/>
        <rFont val="Noto Sans CJK SC"/>
        <family val="2"/>
      </rPr>
      <t xml:space="preserve">기획은 고르고 고치기</t>
    </r>
  </si>
  <si>
    <t xml:space="preserve">사건 대사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</si>
  <si>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사건당 </t>
    </r>
    <r>
      <rPr>
        <sz val="10"/>
        <rFont val="Arial"/>
        <family val="0"/>
        <charset val="1"/>
      </rPr>
      <t xml:space="preserve">3~4</t>
    </r>
    <r>
      <rPr>
        <sz val="10"/>
        <rFont val="Noto Sans CJK SC"/>
        <family val="2"/>
      </rPr>
      <t xml:space="preserve">줄</t>
    </r>
  </si>
  <si>
    <t xml:space="preserve">태도가 정해지기 전에 재생 → 태도 중립이어야 함</t>
  </si>
  <si>
    <t xml:space="preserve">콜백 템플릿</t>
  </si>
  <si>
    <r>
      <rPr>
        <sz val="10"/>
        <rFont val="Noto Sans CJK SC"/>
        <family val="2"/>
      </rPr>
      <t xml:space="preserve">명사 자리를 </t>
    </r>
    <r>
      <rPr>
        <sz val="10"/>
        <rFont val="Arial"/>
        <family val="0"/>
        <charset val="1"/>
      </rPr>
      <t xml:space="preserve">{noun} </t>
    </r>
    <r>
      <rPr>
        <sz val="10"/>
        <rFont val="Noto Sans CJK SC"/>
        <family val="2"/>
      </rPr>
      <t xml:space="preserve">으로 비우기</t>
    </r>
  </si>
  <si>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...</t>
    </r>
    <r>
      <rPr>
        <sz val="10"/>
        <rFont val="Noto Sans CJK SC"/>
        <family val="2"/>
      </rPr>
      <t xml:space="preserve">아직 그 </t>
    </r>
    <r>
      <rPr>
        <sz val="10"/>
        <rFont val="Arial"/>
        <family val="0"/>
        <charset val="1"/>
      </rPr>
      <t xml:space="preserve">{noun} </t>
    </r>
    <r>
      <rPr>
        <sz val="10"/>
        <rFont val="Noto Sans CJK SC"/>
        <family val="2"/>
      </rPr>
      <t xml:space="preserve">안 왔네요</t>
    </r>
    <r>
      <rPr>
        <sz val="10"/>
        <rFont val="Arial"/>
        <family val="0"/>
        <charset val="1"/>
      </rPr>
      <t xml:space="preserve">.</t>
    </r>
  </si>
  <si>
    <t xml:space="preserve">조사 표기</t>
  </si>
  <si>
    <r>
      <rPr>
        <sz val="10"/>
        <rFont val="Arial"/>
        <family val="0"/>
        <charset val="1"/>
      </rPr>
      <t xml:space="preserve">{noun|</t>
    </r>
    <r>
      <rPr>
        <sz val="10"/>
        <rFont val="Noto Sans CJK SC"/>
        <family val="2"/>
      </rPr>
      <t xml:space="preserve">이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가</t>
    </r>
    <r>
      <rPr>
        <sz val="10"/>
        <rFont val="Arial"/>
        <family val="0"/>
        <charset val="1"/>
      </rPr>
      <t xml:space="preserve">} , {noun|</t>
    </r>
    <r>
      <rPr>
        <sz val="10"/>
        <rFont val="Noto Sans CJK SC"/>
        <family val="2"/>
      </rPr>
      <t xml:space="preserve">은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는</t>
    </r>
    <r>
      <rPr>
        <sz val="10"/>
        <rFont val="Arial"/>
        <family val="0"/>
        <charset val="1"/>
      </rPr>
      <t xml:space="preserve">}</t>
    </r>
  </si>
  <si>
    <t xml:space="preserve">받침 유무는 코드가 처리</t>
  </si>
  <si>
    <t xml:space="preserve">제출 형식</t>
  </si>
  <si>
    <r>
      <rPr>
        <sz val="10"/>
        <rFont val="Noto Sans CJK SC"/>
        <family val="2"/>
      </rPr>
      <t xml:space="preserve">스프레드시트 — 배합</t>
    </r>
    <r>
      <rPr>
        <sz val="10"/>
        <rFont val="Arial"/>
        <family val="0"/>
        <charset val="1"/>
      </rPr>
      <t xml:space="preserve">ID/</t>
    </r>
    <r>
      <rPr>
        <sz val="10"/>
        <rFont val="Noto Sans CJK SC"/>
        <family val="2"/>
      </rPr>
      <t xml:space="preserve">사건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태도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배합이름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대사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최대길이</t>
    </r>
  </si>
  <si>
    <r>
      <rPr>
        <sz val="10"/>
        <rFont val="Noto Sans CJK SC"/>
        <family val="2"/>
      </rPr>
      <t xml:space="preserve">음성 합성은 개발 스크립트가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텍스트만</t>
    </r>
  </si>
  <si>
    <t xml:space="preserve">운영</t>
  </si>
  <si>
    <t xml:space="preserve">체험 시간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</si>
  <si>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</si>
  <si>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0"/>
        <charset val="1"/>
      </rPr>
      <t xml:space="preserve">D11. 9</t>
    </r>
    <r>
      <rPr>
        <sz val="10"/>
        <rFont val="Noto Sans CJK SC"/>
        <family val="2"/>
      </rPr>
      <t xml:space="preserve">월 초까지 확정</t>
    </r>
  </si>
  <si>
    <t xml:space="preserve">헤드셋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</si>
  <si>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동시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인</t>
    </r>
  </si>
  <si>
    <t xml:space="preserve">유일한 요구</t>
  </si>
  <si>
    <t xml:space="preserve">조명이 색을 입힐 수 있는 상태</t>
  </si>
  <si>
    <t xml:space="preserve">텍스처에 색이 박혀 있으면 장르가 안 갈림</t>
  </si>
  <si>
    <t xml:space="preserve">날짜</t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</si>
  <si>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「사운드 제작법」 편 읽기</t>
    </r>
  </si>
  <si>
    <r>
      <rPr>
        <sz val="9"/>
        <rFont val="Arial"/>
        <family val="0"/>
        <charset val="1"/>
      </rPr>
      <t xml:space="preserve">· manifest.json </t>
    </r>
    <r>
      <rPr>
        <sz val="9"/>
        <rFont val="Noto Sans CJK SC"/>
        <family val="2"/>
      </rPr>
      <t xml:space="preserve">빈 양식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대사 스프레드시트 양식 배포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명명 규칙 </t>
    </r>
    <r>
      <rPr>
        <sz val="9"/>
        <rFont val="Arial"/>
        <family val="0"/>
        <charset val="1"/>
      </rPr>
      <t xml:space="preserve">+ GLB </t>
    </r>
    <r>
      <rPr>
        <sz val="9"/>
        <rFont val="Noto Sans CJK SC"/>
        <family val="2"/>
      </rPr>
      <t xml:space="preserve">규약 배포
</t>
    </r>
    <r>
      <rPr>
        <sz val="9"/>
        <rFont val="Arial"/>
        <family val="0"/>
        <charset val="1"/>
      </rPr>
      <t xml:space="preserve">· Q2 </t>
    </r>
    <r>
      <rPr>
        <sz val="9"/>
        <rFont val="Noto Sans CJK SC"/>
        <family val="2"/>
      </rPr>
      <t xml:space="preserve">문구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종 초안 작성해 기획에 전달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</si>
  <si>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「결정」 편 읽기 </t>
    </r>
    <r>
      <rPr>
        <sz val="9"/>
        <rFont val="Arial"/>
        <family val="0"/>
        <charset val="1"/>
      </rPr>
      <t xml:space="preserve">(12</t>
    </r>
    <r>
      <rPr>
        <sz val="9"/>
        <rFont val="Noto Sans CJK SC"/>
        <family val="2"/>
      </rPr>
      <t xml:space="preserve">개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</si>
  <si>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· PlayCanvas </t>
    </r>
    <r>
      <rPr>
        <sz val="9"/>
        <rFont val="Noto Sans CJK SC"/>
        <family val="2"/>
      </rPr>
      <t xml:space="preserve">계정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프로젝트 접속 확인</t>
    </r>
  </si>
  <si>
    <r>
      <rPr>
        <sz val="9"/>
        <rFont val="Arial"/>
        <family val="0"/>
        <charset val="1"/>
      </rPr>
      <t xml:space="preserve">· ElevenLabs </t>
    </r>
    <r>
      <rPr>
        <sz val="9"/>
        <rFont val="Noto Sans CJK SC"/>
        <family val="2"/>
      </rPr>
      <t xml:space="preserve">계정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플랜 확인 </t>
    </r>
    <r>
      <rPr>
        <sz val="9"/>
        <rFont val="Arial"/>
        <family val="0"/>
        <charset val="1"/>
      </rPr>
      <t xml:space="preserve">+ Sound Effects </t>
    </r>
    <r>
      <rPr>
        <sz val="9"/>
        <rFont val="Noto Sans CJK SC"/>
        <family val="2"/>
      </rPr>
      <t xml:space="preserve">루프 한 번 눌러 보기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</si>
  <si>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컨셉 문서에서 대사 분량 숫자가 적힌 곳 찾아 표시</t>
    </r>
  </si>
  <si>
    <r>
      <rPr>
        <sz val="9"/>
        <rFont val="Arial"/>
        <family val="0"/>
        <charset val="1"/>
      </rPr>
      <t xml:space="preserve">· NPC </t>
    </r>
    <r>
      <rPr>
        <sz val="9"/>
        <rFont val="Noto Sans CJK SC"/>
        <family val="2"/>
      </rPr>
      <t xml:space="preserve">목소리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개 — </t>
    </r>
    <r>
      <rPr>
        <sz val="9"/>
        <rFont val="Arial"/>
        <family val="0"/>
        <charset val="1"/>
      </rPr>
      <t xml:space="preserve">Voice Design</t>
    </r>
    <r>
      <rPr>
        <sz val="9"/>
        <rFont val="Noto Sans CJK SC"/>
        <family val="2"/>
      </rPr>
      <t xml:space="preserve">으로 만들어 저장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배경 트랙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종 </t>
    </r>
    <r>
      <rPr>
        <sz val="9"/>
        <rFont val="Arial"/>
        <family val="0"/>
        <charset val="1"/>
      </rPr>
      <t xml:space="preserve">30</t>
    </r>
    <r>
      <rPr>
        <sz val="9"/>
        <rFont val="Noto Sans CJK SC"/>
        <family val="2"/>
      </rPr>
      <t xml:space="preserve">초 루프 — 초안
</t>
    </r>
    <r>
      <rPr>
        <sz val="9"/>
        <rFont val="Arial"/>
        <family val="0"/>
        <charset val="1"/>
      </rPr>
      <t xml:space="preserve">· T3 — </t>
    </r>
    <r>
      <rPr>
        <sz val="9"/>
        <rFont val="Noto Sans CJK SC"/>
        <family val="2"/>
      </rPr>
      <t xml:space="preserve">네 트랙 각 </t>
    </r>
    <r>
      <rPr>
        <sz val="9"/>
        <rFont val="Arial"/>
        <family val="0"/>
        <charset val="1"/>
      </rPr>
      <t xml:space="preserve">50%</t>
    </r>
    <r>
      <rPr>
        <sz val="9"/>
        <rFont val="Noto Sans CJK SC"/>
        <family val="2"/>
      </rPr>
      <t xml:space="preserve">로 동시 재생 후 트루 피크 측정</t>
    </r>
  </si>
  <si>
    <r>
      <rPr>
        <sz val="9"/>
        <rFont val="Arial"/>
        <family val="0"/>
        <charset val="1"/>
      </rPr>
      <t xml:space="preserve">· PlayCanvas </t>
    </r>
    <r>
      <rPr>
        <sz val="9"/>
        <rFont val="Noto Sans CJK SC"/>
        <family val="2"/>
      </rPr>
      <t xml:space="preserve">「프리셋 저장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불러오기」 버튼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백엔드 고정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</si>
  <si>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에디터에서 프리셋 시험 제작 — 중립 </t>
    </r>
    <r>
      <rPr>
        <sz val="9"/>
        <rFont val="Arial"/>
        <family val="0"/>
        <charset val="1"/>
      </rPr>
      <t xml:space="preserve">1 + </t>
    </r>
    <r>
      <rPr>
        <sz val="9"/>
        <rFont val="Noto Sans CJK SC"/>
        <family val="2"/>
      </rPr>
      <t xml:space="preserve">순수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종</t>
    </r>
  </si>
  <si>
    <r>
      <rPr>
        <sz val="9"/>
        <rFont val="Arial"/>
        <family val="0"/>
        <charset val="1"/>
      </rPr>
      <t xml:space="preserve">· Q2 </t>
    </r>
    <r>
      <rPr>
        <sz val="9"/>
        <rFont val="Noto Sans CJK SC"/>
        <family val="2"/>
      </rPr>
      <t xml:space="preserve">문구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종 — 개발 초안 검토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수정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</si>
  <si>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시험 프리셋 런타임 확인 → 형식 피드백</t>
    </r>
  </si>
  <si>
    <r>
      <rPr>
        <sz val="9"/>
        <rFont val="Arial"/>
        <family val="0"/>
        <charset val="1"/>
      </rPr>
      <t xml:space="preserve">· Q2 </t>
    </r>
    <r>
      <rPr>
        <sz val="9"/>
        <rFont val="Noto Sans CJK SC"/>
        <family val="2"/>
      </rPr>
      <t xml:space="preserve">문구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종 확정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컨셉 문서 대사 분량을 </t>
    </r>
    <r>
      <rPr>
        <sz val="9"/>
        <rFont val="Arial"/>
        <family val="0"/>
        <charset val="1"/>
      </rPr>
      <t xml:space="preserve">16</t>
    </r>
    <r>
      <rPr>
        <sz val="9"/>
        <rFont val="Noto Sans CJK SC"/>
        <family val="2"/>
      </rPr>
      <t xml:space="preserve">벌로 통일 </t>
    </r>
    <r>
      <rPr>
        <sz val="9"/>
        <rFont val="Arial"/>
        <family val="0"/>
        <charset val="1"/>
      </rPr>
      <t xml:space="preserve">(8·10·13</t>
    </r>
    <r>
      <rPr>
        <sz val="9"/>
        <rFont val="Noto Sans CJK SC"/>
        <family val="2"/>
      </rPr>
      <t xml:space="preserve">장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</si>
  <si>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· Q1 </t>
    </r>
    <r>
      <rPr>
        <sz val="9"/>
        <rFont val="Noto Sans CJK SC"/>
        <family val="2"/>
      </rPr>
      <t xml:space="preserve">음성 — 「당신은 무엇을 기다리고 있습니까</t>
    </r>
    <r>
      <rPr>
        <sz val="9"/>
        <rFont val="Arial"/>
        <family val="0"/>
        <charset val="1"/>
      </rPr>
      <t xml:space="preserve">?</t>
    </r>
    <r>
      <rPr>
        <sz val="9"/>
        <rFont val="Noto Sans CJK SC"/>
        <family val="2"/>
      </rPr>
      <t xml:space="preserve">」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되묻기 음성 — 「조금 더 말씀해 주시겠어요」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들숨 — 관객 말이 끝난 뒤 </t>
    </r>
    <r>
      <rPr>
        <sz val="9"/>
        <rFont val="Arial"/>
        <family val="0"/>
        <charset val="1"/>
      </rPr>
      <t xml:space="preserve">NPC</t>
    </r>
    <r>
      <rPr>
        <sz val="9"/>
        <rFont val="Noto Sans CJK SC"/>
        <family val="2"/>
      </rPr>
      <t xml:space="preserve">가 숨을 들이쉬는 소리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채움 </t>
    </r>
    <r>
      <rPr>
        <sz val="9"/>
        <rFont val="Arial"/>
        <family val="0"/>
        <charset val="1"/>
      </rPr>
      <t xml:space="preserve">2</t>
    </r>
    <r>
      <rPr>
        <sz val="9"/>
        <rFont val="Noto Sans CJK SC"/>
        <family val="2"/>
      </rPr>
      <t xml:space="preserve">개 — 「</t>
    </r>
    <r>
      <rPr>
        <sz val="9"/>
        <rFont val="Arial"/>
        <family val="0"/>
        <charset val="1"/>
      </rPr>
      <t xml:space="preserve">...</t>
    </r>
    <r>
      <rPr>
        <sz val="9"/>
        <rFont val="Noto Sans CJK SC"/>
        <family val="2"/>
      </rPr>
      <t xml:space="preserve">음</t>
    </r>
    <r>
      <rPr>
        <sz val="9"/>
        <rFont val="Arial"/>
        <family val="0"/>
        <charset val="1"/>
      </rPr>
      <t xml:space="preserve">.</t>
    </r>
    <r>
      <rPr>
        <sz val="9"/>
        <rFont val="Noto Sans CJK SC"/>
        <family val="2"/>
      </rPr>
      <t xml:space="preserve">」 </t>
    </r>
    <r>
      <rPr>
        <sz val="9"/>
        <rFont val="Arial"/>
        <family val="0"/>
        <charset val="1"/>
      </rPr>
      <t xml:space="preserve">/ </t>
    </r>
    <r>
      <rPr>
        <sz val="9"/>
        <rFont val="Noto Sans CJK SC"/>
        <family val="2"/>
      </rPr>
      <t xml:space="preserve">「</t>
    </r>
    <r>
      <rPr>
        <sz val="9"/>
        <rFont val="Arial"/>
        <family val="0"/>
        <charset val="1"/>
      </rPr>
      <t xml:space="preserve">...</t>
    </r>
    <r>
      <rPr>
        <sz val="9"/>
        <rFont val="Noto Sans CJK SC"/>
        <family val="2"/>
      </rPr>
      <t xml:space="preserve">그렇군요</t>
    </r>
    <r>
      <rPr>
        <sz val="9"/>
        <rFont val="Arial"/>
        <family val="0"/>
        <charset val="1"/>
      </rPr>
      <t xml:space="preserve">.</t>
    </r>
    <r>
      <rPr>
        <sz val="9"/>
        <rFont val="Noto Sans CJK SC"/>
        <family val="2"/>
      </rPr>
      <t xml:space="preserve">」
</t>
    </r>
    <r>
      <rPr>
        <sz val="9"/>
        <rFont val="Arial"/>
        <family val="0"/>
        <charset val="1"/>
      </rPr>
      <t xml:space="preserve">· T6 — v3 </t>
    </r>
    <r>
      <rPr>
        <sz val="9"/>
        <rFont val="Noto Sans CJK SC"/>
        <family val="2"/>
      </rPr>
      <t xml:space="preserve">감정 태그가 한국어에서 실제로 먹는가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</si>
  <si>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사건 대사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종 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사건당 최소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줄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</si>
  <si>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· T6 — v3 </t>
    </r>
    <r>
      <rPr>
        <sz val="9"/>
        <rFont val="Noto Sans CJK SC"/>
        <family val="2"/>
      </rPr>
      <t xml:space="preserve">감정 태그가 한국어에서 실제로 먹는가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</si>
  <si>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정류장 구조물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세트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노선도 표지판
</t>
    </r>
    <r>
      <rPr>
        <sz val="9"/>
        <rFont val="Arial"/>
        <family val="0"/>
        <charset val="1"/>
      </rPr>
      <t xml:space="preserve">· T1 — </t>
    </r>
    <r>
      <rPr>
        <sz val="9"/>
        <rFont val="Noto Sans CJK SC"/>
        <family val="2"/>
      </rPr>
      <t xml:space="preserve">텍스처가 조명에 반응하는가
</t>
    </r>
    <r>
      <rPr>
        <sz val="9"/>
        <rFont val="Arial"/>
        <family val="0"/>
        <charset val="1"/>
      </rPr>
      <t xml:space="preserve">· T2 — </t>
    </r>
    <r>
      <rPr>
        <sz val="9"/>
        <rFont val="Noto Sans CJK SC"/>
        <family val="2"/>
      </rPr>
      <t xml:space="preserve">어둠 속에서 표지판 한글이 읽히는가</t>
    </r>
  </si>
  <si>
    <r>
      <rPr>
        <sz val="9"/>
        <rFont val="Arial"/>
        <family val="0"/>
        <charset val="1"/>
      </rPr>
      <t xml:space="preserve">· T2 — </t>
    </r>
    <r>
      <rPr>
        <sz val="9"/>
        <rFont val="Noto Sans CJK SC"/>
        <family val="2"/>
      </rPr>
      <t xml:space="preserve">어둠 속에서 표지판 한글이 읽히는가
</t>
    </r>
    <r>
      <rPr>
        <sz val="9"/>
        <rFont val="Arial"/>
        <family val="0"/>
        <charset val="1"/>
      </rPr>
      <t xml:space="preserve">· PlayCanvas </t>
    </r>
    <r>
      <rPr>
        <sz val="9"/>
        <rFont val="Noto Sans CJK SC"/>
        <family val="2"/>
      </rPr>
      <t xml:space="preserve">화이트박스 씬 </t>
    </r>
    <r>
      <rPr>
        <sz val="9"/>
        <rFont val="Arial"/>
        <family val="0"/>
        <charset val="1"/>
      </rPr>
      <t xml:space="preserve">+ </t>
    </r>
    <r>
      <rPr>
        <sz val="9"/>
        <rFont val="Noto Sans CJK SC"/>
        <family val="2"/>
      </rPr>
      <t xml:space="preserve">테스트 환경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</si>
  <si>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순수 배합 </t>
    </r>
    <r>
      <rPr>
        <sz val="9"/>
        <rFont val="Arial"/>
        <family val="0"/>
        <charset val="1"/>
      </rPr>
      <t xml:space="preserve">4</t>
    </r>
    <r>
      <rPr>
        <sz val="9"/>
        <rFont val="Noto Sans CJK SC"/>
        <family val="2"/>
      </rPr>
      <t xml:space="preserve">개 이름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</si>
  <si>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런타임 </t>
    </r>
    <r>
      <rPr>
        <sz val="9"/>
        <rFont val="Arial"/>
        <family val="0"/>
        <charset val="1"/>
      </rPr>
      <t xml:space="preserve">EQ + </t>
    </r>
    <r>
      <rPr>
        <sz val="9"/>
        <rFont val="Noto Sans CJK SC"/>
        <family val="2"/>
      </rPr>
      <t xml:space="preserve">마스터 리미터
</t>
    </r>
    <r>
      <rPr>
        <sz val="9"/>
        <rFont val="Arial"/>
        <family val="0"/>
        <charset val="1"/>
      </rPr>
      <t xml:space="preserve">· ElevenLabs </t>
    </r>
    <r>
      <rPr>
        <sz val="9"/>
        <rFont val="Noto Sans CJK SC"/>
        <family val="2"/>
      </rPr>
      <t xml:space="preserve">배치 합성 스크립트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</si>
  <si>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조명 프리셋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세트 — 중립 </t>
    </r>
    <r>
      <rPr>
        <sz val="9"/>
        <rFont val="Arial"/>
        <family val="0"/>
        <charset val="1"/>
      </rPr>
      <t xml:space="preserve">1 + </t>
    </r>
    <r>
      <rPr>
        <sz val="9"/>
        <rFont val="Noto Sans CJK SC"/>
        <family val="2"/>
      </rPr>
      <t xml:space="preserve">순수 </t>
    </r>
    <r>
      <rPr>
        <sz val="9"/>
        <rFont val="Arial"/>
        <family val="0"/>
        <charset val="1"/>
      </rPr>
      <t xml:space="preserve">4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</si>
  <si>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옆사람 실루엣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개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</si>
  <si>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두 사람 실험 녹음 동의서
</t>
    </r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실험 진행 대본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</si>
  <si>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상태 머신 관통 — 처음부터 카드까지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</si>
  <si>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통합 리허설 </t>
    </r>
    <r>
      <rPr>
        <sz val="9"/>
        <rFont val="Arial"/>
        <family val="0"/>
        <charset val="1"/>
      </rPr>
      <t xml:space="preserve">1</t>
    </r>
    <r>
      <rPr>
        <sz val="9"/>
        <rFont val="Noto Sans CJK SC"/>
        <family val="2"/>
      </rPr>
      <t xml:space="preserve">차 — </t>
    </r>
    <r>
      <rPr>
        <sz val="9"/>
        <rFont val="Arial"/>
        <family val="0"/>
        <charset val="1"/>
      </rPr>
      <t xml:space="preserve">5</t>
    </r>
    <r>
      <rPr>
        <sz val="9"/>
        <rFont val="Noto Sans CJK SC"/>
        <family val="2"/>
      </rPr>
      <t xml:space="preserve">회 연속 완주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</si>
  <si>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실험 대기 공간 준비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</si>
  <si>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서버 켜는 방법 한 장</t>
    </r>
  </si>
  <si>
    <r>
      <rPr>
        <sz val="9"/>
        <rFont val="Arial"/>
        <family val="0"/>
        <charset val="1"/>
      </rPr>
      <t xml:space="preserve">· T4 — Quest 3 </t>
    </r>
    <r>
      <rPr>
        <sz val="9"/>
        <rFont val="Noto Sans CJK SC"/>
        <family val="2"/>
      </rPr>
      <t xml:space="preserve">폴리곤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텍스처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드로우콜 실측
</t>
    </r>
    <r>
      <rPr>
        <sz val="9"/>
        <rFont val="Arial"/>
        <family val="0"/>
        <charset val="1"/>
      </rPr>
      <t xml:space="preserve">· T5 — 1m </t>
    </r>
    <r>
      <rPr>
        <sz val="9"/>
        <rFont val="Noto Sans CJK SC"/>
        <family val="2"/>
      </rPr>
      <t xml:space="preserve">옆 대화가 마이크에 섞이는가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</si>
  <si>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두 사람 실험 </t>
    </r>
    <r>
      <rPr>
        <sz val="9"/>
        <rFont val="Arial"/>
        <family val="0"/>
        <charset val="1"/>
      </rPr>
      <t xml:space="preserve">(8/18~8/19)</t>
    </r>
  </si>
  <si>
    <t xml:space="preserve">8/19</t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</si>
  <si>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발표 자료</t>
    </r>
  </si>
  <si>
    <r>
      <rPr>
        <sz val="9"/>
        <rFont val="Arial"/>
        <family val="0"/>
        <charset val="1"/>
      </rPr>
      <t xml:space="preserve">· </t>
    </r>
    <r>
      <rPr>
        <sz val="9"/>
        <rFont val="Noto Sans CJK SC"/>
        <family val="2"/>
      </rPr>
      <t xml:space="preserve">리허설 </t>
    </r>
    <r>
      <rPr>
        <sz val="9"/>
        <rFont val="Arial"/>
        <family val="0"/>
        <charset val="1"/>
      </rPr>
      <t xml:space="preserve">3</t>
    </r>
    <r>
      <rPr>
        <sz val="9"/>
        <rFont val="Noto Sans CJK SC"/>
        <family val="2"/>
      </rPr>
      <t xml:space="preserve">회</t>
    </r>
  </si>
  <si>
    <r>
      <rPr>
        <sz val="9"/>
        <rFont val="Arial"/>
        <family val="0"/>
        <charset val="1"/>
      </rPr>
      <t xml:space="preserve">· 🎤 1</t>
    </r>
    <r>
      <rPr>
        <sz val="9"/>
        <rFont val="Noto Sans CJK SC"/>
        <family val="2"/>
      </rPr>
      <t xml:space="preserve">차 시연 발표</t>
    </r>
  </si>
  <si>
    <t xml:space="preserve">개발이 임의로 채운 값</t>
  </si>
  <si>
    <t xml:space="preserve">실제 근거</t>
  </si>
  <si>
    <t xml:space="preserve">언제 정해지나</t>
  </si>
  <si>
    <r>
      <rPr>
        <b val="true"/>
        <sz val="10"/>
        <rFont val="Noto Sans CJK SC"/>
        <family val="2"/>
      </rPr>
      <t xml:space="preserve">텍스처 채도 </t>
    </r>
    <r>
      <rPr>
        <b val="true"/>
        <sz val="10"/>
        <rFont val="Arial"/>
        <family val="0"/>
        <charset val="1"/>
      </rPr>
      <t xml:space="preserve">15% </t>
    </r>
    <r>
      <rPr>
        <b val="true"/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</si>
  <si>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근거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일반적인 조언을 옮긴 것</t>
    </r>
  </si>
  <si>
    <r>
      <rPr>
        <sz val="10"/>
        <rFont val="Arial"/>
        <family val="0"/>
        <charset val="1"/>
      </rPr>
      <t xml:space="preserve">8/12 — T1 </t>
    </r>
    <r>
      <rPr>
        <sz val="10"/>
        <rFont val="Noto Sans CJK SC"/>
        <family val="2"/>
      </rPr>
      <t xml:space="preserve">결과로 아트가</t>
    </r>
  </si>
  <si>
    <r>
      <rPr>
        <b val="true"/>
        <sz val="10"/>
        <rFont val="Noto Sans CJK SC"/>
        <family val="2"/>
      </rPr>
      <t xml:space="preserve">삼각형 </t>
    </r>
    <r>
      <rPr>
        <b val="true"/>
        <sz val="10"/>
        <rFont val="Arial"/>
        <family val="0"/>
        <charset val="1"/>
      </rPr>
      <t xml:space="preserve">30</t>
    </r>
    <r>
      <rPr>
        <b val="true"/>
        <sz val="10"/>
        <rFont val="Noto Sans CJK SC"/>
        <family val="2"/>
      </rPr>
      <t xml:space="preserve">만 이하</t>
    </r>
  </si>
  <si>
    <r>
      <rPr>
        <sz val="10"/>
        <rFont val="Noto Sans CJK SC"/>
        <family val="2"/>
      </rPr>
      <t xml:space="preserve">근거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실측 전까지 무의미</t>
    </r>
  </si>
  <si>
    <t xml:space="preserve">8/17 — T4</t>
  </si>
  <si>
    <r>
      <rPr>
        <b val="true"/>
        <sz val="10"/>
        <rFont val="Noto Sans CJK SC"/>
        <family val="2"/>
      </rPr>
      <t xml:space="preserve">태도별 시선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거리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침묵 숫자</t>
    </r>
  </si>
  <si>
    <r>
      <rPr>
        <sz val="10"/>
        <rFont val="Noto Sans CJK SC"/>
        <family val="2"/>
      </rPr>
      <t xml:space="preserve">근거 없음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클립을 보고 함께 맞춰야 함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</si>
  <si>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— 클립 납품 후</t>
    </r>
  </si>
  <si>
    <r>
      <rPr>
        <b val="true"/>
        <sz val="10"/>
        <rFont val="Noto Sans CJK SC"/>
        <family val="2"/>
      </rPr>
      <t xml:space="preserve">체험 시간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</si>
  <si>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계산의 편의를 위한 가정</t>
    </r>
    <r>
      <rPr>
        <sz val="10"/>
        <rFont val="Arial"/>
        <family val="0"/>
        <charset val="1"/>
      </rPr>
      <t xml:space="preserve">. D11</t>
    </r>
    <r>
      <rPr>
        <sz val="10"/>
        <rFont val="Noto Sans CJK SC"/>
        <family val="2"/>
      </rPr>
      <t xml:space="preserve">로 잠정 확정</t>
    </r>
  </si>
  <si>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 초 — 이의 없으면 확정</t>
    </r>
  </si>
  <si>
    <r>
      <rPr>
        <b val="true"/>
        <sz val="10"/>
        <rFont val="Noto Sans CJK SC"/>
        <family val="2"/>
      </rPr>
      <t xml:space="preserve">피크 헤드룸 −</t>
    </r>
    <r>
      <rPr>
        <b val="true"/>
        <sz val="10"/>
        <rFont val="Arial"/>
        <family val="0"/>
        <charset val="1"/>
      </rPr>
      <t xml:space="preserve">9 dBFS</t>
    </r>
  </si>
  <si>
    <t xml:space="preserve">이론 계산뿐</t>
  </si>
  <si>
    <t xml:space="preserve">8/8 — T3</t>
  </si>
  <si>
    <t xml:space="preserve">중립 구간 네 트랙 균등 배분</t>
  </si>
  <si>
    <t xml:space="preserve">균등이 자연스러운 출발점이라는 짐작</t>
  </si>
  <si>
    <r>
      <rPr>
        <sz val="10"/>
        <rFont val="Arial"/>
        <family val="0"/>
        <charset val="1"/>
      </rPr>
      <t xml:space="preserve">8/8 — T3 </t>
    </r>
    <r>
      <rPr>
        <sz val="10"/>
        <rFont val="Noto Sans CJK SC"/>
        <family val="2"/>
      </rPr>
      <t xml:space="preserve">들어 보고</t>
    </r>
  </si>
  <si>
    <r>
      <rPr>
        <b val="true"/>
        <sz val="10"/>
        <rFont val="Noto Sans CJK SC"/>
        <family val="2"/>
      </rPr>
      <t xml:space="preserve">배경 트랙 </t>
    </r>
    <r>
      <rPr>
        <b val="true"/>
        <sz val="10"/>
        <rFont val="Arial"/>
        <family val="0"/>
        <charset val="1"/>
      </rPr>
      <t xml:space="preserve">72 BPM · A </t>
    </r>
    <r>
      <rPr>
        <b val="true"/>
        <sz val="10"/>
        <rFont val="Noto Sans CJK SC"/>
        <family val="2"/>
      </rPr>
      <t xml:space="preserve">마이너</t>
    </r>
  </si>
  <si>
    <r>
      <rPr>
        <sz val="10"/>
        <rFont val="Noto Sans CJK SC"/>
        <family val="2"/>
      </rPr>
      <t xml:space="preserve">네 트랙이 부딪히지 않게 하려는 것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필요한지는 초안을 들어 봐야 함</t>
    </r>
  </si>
  <si>
    <r>
      <rPr>
        <sz val="10"/>
        <rFont val="Arial"/>
        <family val="0"/>
        <charset val="1"/>
      </rPr>
      <t xml:space="preserve">8/8 — </t>
    </r>
    <r>
      <rPr>
        <sz val="10"/>
        <rFont val="Noto Sans CJK SC"/>
        <family val="2"/>
      </rPr>
      <t xml:space="preserve">초안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겹쳐 듣고</t>
    </r>
  </si>
  <si>
    <r>
      <rPr>
        <b val="true"/>
        <sz val="10"/>
        <rFont val="Arial"/>
        <family val="0"/>
        <charset val="1"/>
      </rPr>
      <t xml:space="preserve">v3 </t>
    </r>
    <r>
      <rPr>
        <b val="true"/>
        <sz val="10"/>
        <rFont val="Noto Sans CJK SC"/>
        <family val="2"/>
      </rPr>
      <t xml:space="preserve">감정 태그가 한국어에서 먹는지</t>
    </r>
  </si>
  <si>
    <t xml:space="preserve">확인 안 됨</t>
  </si>
  <si>
    <t xml:space="preserve">8/11 — T6</t>
  </si>
  <si>
    <r>
      <rPr>
        <b val="true"/>
        <sz val="10"/>
        <rFont val="Noto Sans CJK SC"/>
        <family val="2"/>
      </rPr>
      <t xml:space="preserve">표지판 글자 크기 </t>
    </r>
    <r>
      <rPr>
        <b val="true"/>
        <sz val="10"/>
        <rFont val="Arial"/>
        <family val="0"/>
        <charset val="1"/>
      </rPr>
      <t xml:space="preserve">45%</t>
    </r>
  </si>
  <si>
    <r>
      <rPr>
        <sz val="10"/>
        <rFont val="Arial"/>
        <family val="0"/>
        <charset val="1"/>
      </rPr>
      <t xml:space="preserve">T2</t>
    </r>
    <r>
      <rPr>
        <sz val="10"/>
        <rFont val="Noto Sans CJK SC"/>
        <family val="2"/>
      </rPr>
      <t xml:space="preserve">를 통과할 만한 값으로 잡은 것</t>
    </r>
  </si>
  <si>
    <t xml:space="preserve">8/12 — T2</t>
  </si>
  <si>
    <r>
      <rPr>
        <sz val="9"/>
        <color rgb="FF808080"/>
        <rFont val="Noto Sans CJK SC"/>
        <family val="2"/>
      </rPr>
      <t xml:space="preserve">※ 그대로 믿지 마시고 고쳐 주세요</t>
    </r>
    <r>
      <rPr>
        <sz val="9"/>
        <color rgb="FF808080"/>
        <rFont val="Arial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고쳐 주시면 그대로 맞춥니다</t>
    </r>
    <r>
      <rPr>
        <sz val="9"/>
        <color rgb="FF8080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</si>
</sst>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color rgb="FFC00000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sz val="11"/>
      <color theme="1"/>
      <name val="Noto Sans CJK SC"/>
      <family val="2"/>
    </font>
    <font>
      <b val="true"/>
      <sz val="10"/>
      <name val="Arial"/>
      <family val="0"/>
      <charset val="1"/>
    </font>
    <font>
      <sz val="9"/>
      <color rgb="FF808080"/>
      <name val="Noto Sans CJK SC"/>
      <family val="2"/>
    </font>
    <font>
      <sz val="9"/>
      <color rgb="FF80808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  <font>
      <sz val="9"/>
      <name val="Arial"/>
      <family val="0"/>
      <charset val="1"/>
    </font>
    <font>
      <sz val="9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E8F0E4"/>
      </patternFill>
    </fill>
    <fill>
      <patternFill patternType="solid">
        <fgColor rgb="FFF4F6F9"/>
        <bgColor rgb="FFF2F7F0"/>
      </patternFill>
    </fill>
    <fill>
      <patternFill patternType="solid">
        <fgColor rgb="FFE8F0E4"/>
        <bgColor rgb="FFF2F7F0"/>
      </patternFill>
    </fill>
    <fill>
      <patternFill patternType="solid">
        <fgColor rgb="FFF2F7F0"/>
        <bgColor rgb="FFF4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4F6F9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0"/>
      <rgbColor rgb="FFF4F6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4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58"/>
    <col collapsed="false" customWidth="true" hidden="false" outlineLevel="0" max="6" min="6" style="0" width="52"/>
    <col collapsed="false" customWidth="true" hidden="false" outlineLevel="0" max="7" min="7" style="0" width="8"/>
    <col collapsed="false" customWidth="true" hidden="false" outlineLevel="0" max="9" min="9" style="0" width="12"/>
    <col collapsed="false" customWidth="true" hidden="false" outlineLevel="0" max="10" min="10" style="0" width="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 t="s">
        <v>7</v>
      </c>
    </row>
    <row r="2" customFormat="false" ht="30" hidden="false" customHeight="true" outlineLevel="0" collapsed="false">
      <c r="A2" s="3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4" t="s">
        <v>13</v>
      </c>
      <c r="G2" s="6" t="s">
        <v>14</v>
      </c>
      <c r="I2" s="7" t="s">
        <v>15</v>
      </c>
      <c r="J2" s="8" t="n">
        <f aca="false">COUNTIF(G2:G66,"대기")</f>
        <v>65</v>
      </c>
    </row>
    <row r="3" customFormat="false" ht="30" hidden="false" customHeight="true" outlineLevel="0" collapsed="false">
      <c r="A3" s="3" t="s">
        <v>8</v>
      </c>
      <c r="B3" s="4" t="s">
        <v>9</v>
      </c>
      <c r="C3" s="4" t="s">
        <v>10</v>
      </c>
      <c r="D3" s="4" t="s">
        <v>11</v>
      </c>
      <c r="E3" s="4" t="s">
        <v>16</v>
      </c>
      <c r="F3" s="4" t="s">
        <v>17</v>
      </c>
      <c r="G3" s="6" t="s">
        <v>14</v>
      </c>
      <c r="I3" s="7" t="s">
        <v>18</v>
      </c>
      <c r="J3" s="8" t="n">
        <f aca="false">COUNTIF(G2:G66,"진행")</f>
        <v>0</v>
      </c>
    </row>
    <row r="4" customFormat="false" ht="30" hidden="false" customHeight="true" outlineLevel="0" collapsed="false">
      <c r="A4" s="3" t="s">
        <v>8</v>
      </c>
      <c r="B4" s="4" t="s">
        <v>9</v>
      </c>
      <c r="C4" s="4" t="s">
        <v>10</v>
      </c>
      <c r="D4" s="4" t="s">
        <v>11</v>
      </c>
      <c r="E4" s="5" t="s">
        <v>19</v>
      </c>
      <c r="F4" s="4" t="s">
        <v>20</v>
      </c>
      <c r="G4" s="6" t="s">
        <v>14</v>
      </c>
      <c r="I4" s="7" t="s">
        <v>21</v>
      </c>
      <c r="J4" s="8" t="n">
        <f aca="false">COUNTIF(G2:G66,"완료")</f>
        <v>0</v>
      </c>
    </row>
    <row r="5" customFormat="false" ht="30" hidden="false" customHeight="true" outlineLevel="0" collapsed="false">
      <c r="A5" s="3" t="s">
        <v>8</v>
      </c>
      <c r="B5" s="4" t="s">
        <v>9</v>
      </c>
      <c r="C5" s="4" t="s">
        <v>22</v>
      </c>
      <c r="D5" s="4" t="s">
        <v>23</v>
      </c>
      <c r="E5" s="4" t="s">
        <v>24</v>
      </c>
      <c r="F5" s="5" t="s">
        <v>25</v>
      </c>
      <c r="G5" s="6" t="s">
        <v>14</v>
      </c>
      <c r="I5" s="7" t="s">
        <v>26</v>
      </c>
      <c r="J5" s="8" t="n">
        <f aca="false">COUNTIF(C2:C66,"*아트*")</f>
        <v>14</v>
      </c>
    </row>
    <row r="6" customFormat="false" ht="30" hidden="false" customHeight="true" outlineLevel="0" collapsed="false">
      <c r="A6" s="3" t="s">
        <v>8</v>
      </c>
      <c r="B6" s="4" t="s">
        <v>9</v>
      </c>
      <c r="C6" s="4" t="s">
        <v>27</v>
      </c>
      <c r="D6" s="4" t="s">
        <v>23</v>
      </c>
      <c r="E6" s="4" t="s">
        <v>28</v>
      </c>
      <c r="F6" s="4" t="s">
        <v>29</v>
      </c>
      <c r="G6" s="6" t="s">
        <v>14</v>
      </c>
      <c r="I6" s="7" t="s">
        <v>22</v>
      </c>
      <c r="J6" s="8" t="n">
        <f aca="false">COUNTIF(C2:C66,"*사운드*")</f>
        <v>13</v>
      </c>
    </row>
    <row r="7" customFormat="false" ht="30" hidden="false" customHeight="true" outlineLevel="0" collapsed="false">
      <c r="A7" s="3" t="s">
        <v>30</v>
      </c>
      <c r="B7" s="4" t="s">
        <v>31</v>
      </c>
      <c r="C7" s="4" t="s">
        <v>26</v>
      </c>
      <c r="D7" s="4" t="s">
        <v>11</v>
      </c>
      <c r="E7" s="5" t="s">
        <v>32</v>
      </c>
      <c r="F7" s="5" t="s">
        <v>33</v>
      </c>
      <c r="G7" s="6" t="s">
        <v>14</v>
      </c>
      <c r="I7" s="7" t="s">
        <v>34</v>
      </c>
      <c r="J7" s="8" t="n">
        <f aca="false">COUNTIF(C2:C66,"*기획*")</f>
        <v>16</v>
      </c>
    </row>
    <row r="8" customFormat="false" ht="30" hidden="false" customHeight="true" outlineLevel="0" collapsed="false">
      <c r="A8" s="3" t="s">
        <v>30</v>
      </c>
      <c r="B8" s="4" t="s">
        <v>31</v>
      </c>
      <c r="C8" s="4" t="s">
        <v>22</v>
      </c>
      <c r="D8" s="4" t="s">
        <v>11</v>
      </c>
      <c r="E8" s="5" t="s">
        <v>35</v>
      </c>
      <c r="F8" s="5" t="s">
        <v>36</v>
      </c>
      <c r="G8" s="6" t="s">
        <v>14</v>
      </c>
      <c r="I8" s="7" t="s">
        <v>10</v>
      </c>
      <c r="J8" s="8" t="n">
        <f aca="false">COUNTIF(C2:C66,"*개발*")</f>
        <v>16</v>
      </c>
    </row>
    <row r="9" customFormat="false" ht="30" hidden="false" customHeight="true" outlineLevel="0" collapsed="false">
      <c r="A9" s="3" t="s">
        <v>30</v>
      </c>
      <c r="B9" s="4" t="s">
        <v>31</v>
      </c>
      <c r="C9" s="4" t="s">
        <v>34</v>
      </c>
      <c r="D9" s="4" t="s">
        <v>11</v>
      </c>
      <c r="E9" s="4" t="s">
        <v>37</v>
      </c>
      <c r="F9" s="5" t="s">
        <v>38</v>
      </c>
      <c r="G9" s="6" t="s">
        <v>14</v>
      </c>
    </row>
    <row r="10" customFormat="false" ht="30" hidden="false" customHeight="true" outlineLevel="0" collapsed="false">
      <c r="A10" s="3" t="s">
        <v>39</v>
      </c>
      <c r="B10" s="4" t="s">
        <v>40</v>
      </c>
      <c r="C10" s="4" t="s">
        <v>10</v>
      </c>
      <c r="D10" s="4" t="s">
        <v>11</v>
      </c>
      <c r="E10" s="5" t="s">
        <v>41</v>
      </c>
      <c r="F10" s="4" t="s">
        <v>42</v>
      </c>
      <c r="G10" s="6" t="s">
        <v>14</v>
      </c>
    </row>
    <row r="11" customFormat="false" ht="30" hidden="false" customHeight="true" outlineLevel="0" collapsed="false">
      <c r="A11" s="3" t="s">
        <v>39</v>
      </c>
      <c r="B11" s="4" t="s">
        <v>40</v>
      </c>
      <c r="C11" s="4" t="s">
        <v>10</v>
      </c>
      <c r="D11" s="4" t="s">
        <v>11</v>
      </c>
      <c r="E11" s="4" t="s">
        <v>43</v>
      </c>
      <c r="F11" s="5" t="s">
        <v>44</v>
      </c>
      <c r="G11" s="6" t="s">
        <v>14</v>
      </c>
    </row>
    <row r="12" customFormat="false" ht="30" hidden="false" customHeight="true" outlineLevel="0" collapsed="false">
      <c r="A12" s="3" t="s">
        <v>39</v>
      </c>
      <c r="B12" s="4" t="s">
        <v>40</v>
      </c>
      <c r="C12" s="4" t="s">
        <v>22</v>
      </c>
      <c r="D12" s="4" t="s">
        <v>11</v>
      </c>
      <c r="E12" s="5" t="s">
        <v>45</v>
      </c>
      <c r="F12" s="5" t="s">
        <v>46</v>
      </c>
      <c r="G12" s="6" t="s">
        <v>14</v>
      </c>
    </row>
    <row r="13" customFormat="false" ht="30" hidden="false" customHeight="true" outlineLevel="0" collapsed="false">
      <c r="A13" s="3" t="s">
        <v>39</v>
      </c>
      <c r="B13" s="4" t="s">
        <v>40</v>
      </c>
      <c r="C13" s="4" t="s">
        <v>22</v>
      </c>
      <c r="D13" s="4" t="s">
        <v>11</v>
      </c>
      <c r="E13" s="4" t="s">
        <v>47</v>
      </c>
      <c r="F13" s="4" t="s">
        <v>48</v>
      </c>
      <c r="G13" s="6" t="s">
        <v>14</v>
      </c>
    </row>
    <row r="14" customFormat="false" ht="30" hidden="false" customHeight="true" outlineLevel="0" collapsed="false">
      <c r="A14" s="3" t="s">
        <v>39</v>
      </c>
      <c r="B14" s="4" t="s">
        <v>40</v>
      </c>
      <c r="C14" s="4" t="s">
        <v>22</v>
      </c>
      <c r="D14" s="4" t="s">
        <v>49</v>
      </c>
      <c r="E14" s="5" t="s">
        <v>50</v>
      </c>
      <c r="F14" s="5" t="s">
        <v>51</v>
      </c>
      <c r="G14" s="6" t="s">
        <v>14</v>
      </c>
    </row>
    <row r="15" customFormat="false" ht="30" hidden="false" customHeight="true" outlineLevel="0" collapsed="false">
      <c r="A15" s="3" t="s">
        <v>52</v>
      </c>
      <c r="B15" s="4" t="s">
        <v>53</v>
      </c>
      <c r="C15" s="4" t="s">
        <v>26</v>
      </c>
      <c r="D15" s="4" t="s">
        <v>11</v>
      </c>
      <c r="E15" s="4" t="s">
        <v>54</v>
      </c>
      <c r="F15" s="4" t="s">
        <v>55</v>
      </c>
      <c r="G15" s="6" t="s">
        <v>14</v>
      </c>
    </row>
    <row r="16" customFormat="false" ht="30" hidden="false" customHeight="true" outlineLevel="0" collapsed="false">
      <c r="A16" s="3" t="s">
        <v>52</v>
      </c>
      <c r="B16" s="4" t="s">
        <v>53</v>
      </c>
      <c r="C16" s="4" t="s">
        <v>34</v>
      </c>
      <c r="D16" s="4" t="s">
        <v>11</v>
      </c>
      <c r="E16" s="5" t="s">
        <v>56</v>
      </c>
      <c r="F16" s="4" t="s">
        <v>57</v>
      </c>
      <c r="G16" s="6" t="s">
        <v>14</v>
      </c>
    </row>
    <row r="17" customFormat="false" ht="30" hidden="false" customHeight="true" outlineLevel="0" collapsed="false">
      <c r="A17" s="9" t="s">
        <v>58</v>
      </c>
      <c r="B17" s="10" t="s">
        <v>59</v>
      </c>
      <c r="C17" s="10" t="s">
        <v>60</v>
      </c>
      <c r="D17" s="10" t="s">
        <v>49</v>
      </c>
      <c r="E17" s="10" t="s">
        <v>61</v>
      </c>
      <c r="F17" s="10" t="s">
        <v>62</v>
      </c>
      <c r="G17" s="11" t="s">
        <v>14</v>
      </c>
    </row>
    <row r="18" customFormat="false" ht="30" hidden="false" customHeight="true" outlineLevel="0" collapsed="false">
      <c r="A18" s="12" t="s">
        <v>58</v>
      </c>
      <c r="B18" s="13" t="s">
        <v>59</v>
      </c>
      <c r="C18" s="13" t="s">
        <v>34</v>
      </c>
      <c r="D18" s="13" t="s">
        <v>11</v>
      </c>
      <c r="E18" s="12" t="s">
        <v>63</v>
      </c>
      <c r="F18" s="13"/>
      <c r="G18" s="11" t="s">
        <v>14</v>
      </c>
    </row>
    <row r="19" customFormat="false" ht="30" hidden="false" customHeight="true" outlineLevel="0" collapsed="false">
      <c r="A19" s="9" t="s">
        <v>58</v>
      </c>
      <c r="B19" s="10" t="s">
        <v>59</v>
      </c>
      <c r="C19" s="10" t="s">
        <v>34</v>
      </c>
      <c r="D19" s="10" t="s">
        <v>11</v>
      </c>
      <c r="E19" s="10" t="s">
        <v>64</v>
      </c>
      <c r="F19" s="9" t="s">
        <v>65</v>
      </c>
      <c r="G19" s="11" t="s">
        <v>14</v>
      </c>
    </row>
    <row r="20" customFormat="false" ht="30" hidden="false" customHeight="true" outlineLevel="0" collapsed="false">
      <c r="A20" s="12" t="s">
        <v>66</v>
      </c>
      <c r="B20" s="13" t="s">
        <v>67</v>
      </c>
      <c r="C20" s="13" t="s">
        <v>22</v>
      </c>
      <c r="D20" s="13" t="s">
        <v>11</v>
      </c>
      <c r="E20" s="12" t="s">
        <v>68</v>
      </c>
      <c r="F20" s="12" t="s">
        <v>69</v>
      </c>
      <c r="G20" s="11" t="s">
        <v>14</v>
      </c>
    </row>
    <row r="21" customFormat="false" ht="30" hidden="false" customHeight="true" outlineLevel="0" collapsed="false">
      <c r="A21" s="9" t="s">
        <v>66</v>
      </c>
      <c r="B21" s="10" t="s">
        <v>67</v>
      </c>
      <c r="C21" s="10" t="s">
        <v>22</v>
      </c>
      <c r="D21" s="10" t="s">
        <v>11</v>
      </c>
      <c r="E21" s="10" t="s">
        <v>70</v>
      </c>
      <c r="F21" s="9" t="s">
        <v>69</v>
      </c>
      <c r="G21" s="11" t="s">
        <v>14</v>
      </c>
    </row>
    <row r="22" customFormat="false" ht="30" hidden="false" customHeight="true" outlineLevel="0" collapsed="false">
      <c r="A22" s="12" t="s">
        <v>66</v>
      </c>
      <c r="B22" s="13" t="s">
        <v>67</v>
      </c>
      <c r="C22" s="13" t="s">
        <v>22</v>
      </c>
      <c r="D22" s="13" t="s">
        <v>11</v>
      </c>
      <c r="E22" s="13" t="s">
        <v>71</v>
      </c>
      <c r="F22" s="13" t="s">
        <v>72</v>
      </c>
      <c r="G22" s="11" t="s">
        <v>14</v>
      </c>
    </row>
    <row r="23" customFormat="false" ht="30" hidden="false" customHeight="true" outlineLevel="0" collapsed="false">
      <c r="A23" s="9" t="s">
        <v>66</v>
      </c>
      <c r="B23" s="10" t="s">
        <v>67</v>
      </c>
      <c r="C23" s="10" t="s">
        <v>22</v>
      </c>
      <c r="D23" s="10" t="s">
        <v>11</v>
      </c>
      <c r="E23" s="10" t="s">
        <v>73</v>
      </c>
      <c r="F23" s="9" t="s">
        <v>69</v>
      </c>
      <c r="G23" s="11" t="s">
        <v>14</v>
      </c>
    </row>
    <row r="24" customFormat="false" ht="30" hidden="false" customHeight="true" outlineLevel="0" collapsed="false">
      <c r="A24" s="12" t="s">
        <v>66</v>
      </c>
      <c r="B24" s="13" t="s">
        <v>67</v>
      </c>
      <c r="C24" s="13" t="s">
        <v>74</v>
      </c>
      <c r="D24" s="13" t="s">
        <v>49</v>
      </c>
      <c r="E24" s="12" t="s">
        <v>75</v>
      </c>
      <c r="F24" s="13" t="s">
        <v>76</v>
      </c>
      <c r="G24" s="11" t="s">
        <v>14</v>
      </c>
    </row>
    <row r="25" customFormat="false" ht="30" hidden="false" customHeight="true" outlineLevel="0" collapsed="false">
      <c r="A25" s="9" t="s">
        <v>66</v>
      </c>
      <c r="B25" s="10" t="s">
        <v>67</v>
      </c>
      <c r="C25" s="10" t="s">
        <v>34</v>
      </c>
      <c r="D25" s="10" t="s">
        <v>11</v>
      </c>
      <c r="E25" s="10" t="s">
        <v>77</v>
      </c>
      <c r="F25" s="10" t="s">
        <v>78</v>
      </c>
      <c r="G25" s="11" t="s">
        <v>14</v>
      </c>
    </row>
    <row r="26" customFormat="false" ht="30" hidden="false" customHeight="true" outlineLevel="0" collapsed="false">
      <c r="A26" s="12" t="s">
        <v>79</v>
      </c>
      <c r="B26" s="13" t="s">
        <v>80</v>
      </c>
      <c r="C26" s="13" t="s">
        <v>26</v>
      </c>
      <c r="D26" s="13" t="s">
        <v>11</v>
      </c>
      <c r="E26" s="13" t="s">
        <v>81</v>
      </c>
      <c r="F26" s="13" t="s">
        <v>82</v>
      </c>
      <c r="G26" s="11" t="s">
        <v>14</v>
      </c>
    </row>
    <row r="27" customFormat="false" ht="30" hidden="false" customHeight="true" outlineLevel="0" collapsed="false">
      <c r="A27" s="9" t="s">
        <v>79</v>
      </c>
      <c r="B27" s="10" t="s">
        <v>80</v>
      </c>
      <c r="C27" s="10" t="s">
        <v>26</v>
      </c>
      <c r="D27" s="10" t="s">
        <v>11</v>
      </c>
      <c r="E27" s="10" t="s">
        <v>83</v>
      </c>
      <c r="F27" s="10" t="s">
        <v>84</v>
      </c>
      <c r="G27" s="11" t="s">
        <v>14</v>
      </c>
    </row>
    <row r="28" customFormat="false" ht="30" hidden="false" customHeight="true" outlineLevel="0" collapsed="false">
      <c r="A28" s="12" t="s">
        <v>79</v>
      </c>
      <c r="B28" s="13" t="s">
        <v>80</v>
      </c>
      <c r="C28" s="13" t="s">
        <v>26</v>
      </c>
      <c r="D28" s="13" t="s">
        <v>49</v>
      </c>
      <c r="E28" s="12" t="s">
        <v>85</v>
      </c>
      <c r="F28" s="13" t="s">
        <v>86</v>
      </c>
      <c r="G28" s="11" t="s">
        <v>14</v>
      </c>
    </row>
    <row r="29" customFormat="false" ht="30" hidden="false" customHeight="true" outlineLevel="0" collapsed="false">
      <c r="A29" s="9" t="s">
        <v>79</v>
      </c>
      <c r="B29" s="10" t="s">
        <v>80</v>
      </c>
      <c r="C29" s="10" t="s">
        <v>87</v>
      </c>
      <c r="D29" s="10" t="s">
        <v>49</v>
      </c>
      <c r="E29" s="9" t="s">
        <v>88</v>
      </c>
      <c r="F29" s="10" t="s">
        <v>89</v>
      </c>
      <c r="G29" s="11" t="s">
        <v>14</v>
      </c>
    </row>
    <row r="30" customFormat="false" ht="30" hidden="false" customHeight="true" outlineLevel="0" collapsed="false">
      <c r="A30" s="12" t="s">
        <v>79</v>
      </c>
      <c r="B30" s="13" t="s">
        <v>80</v>
      </c>
      <c r="C30" s="13" t="s">
        <v>10</v>
      </c>
      <c r="D30" s="13" t="s">
        <v>11</v>
      </c>
      <c r="E30" s="12" t="s">
        <v>90</v>
      </c>
      <c r="F30" s="13" t="s">
        <v>91</v>
      </c>
      <c r="G30" s="11" t="s">
        <v>14</v>
      </c>
    </row>
    <row r="31" customFormat="false" ht="30" hidden="false" customHeight="true" outlineLevel="0" collapsed="false">
      <c r="A31" s="9" t="s">
        <v>92</v>
      </c>
      <c r="B31" s="10" t="s">
        <v>9</v>
      </c>
      <c r="C31" s="10" t="s">
        <v>10</v>
      </c>
      <c r="D31" s="10" t="s">
        <v>11</v>
      </c>
      <c r="E31" s="10" t="s">
        <v>93</v>
      </c>
      <c r="F31" s="10" t="s">
        <v>94</v>
      </c>
      <c r="G31" s="11" t="s">
        <v>14</v>
      </c>
    </row>
    <row r="32" customFormat="false" ht="30" hidden="false" customHeight="true" outlineLevel="0" collapsed="false">
      <c r="A32" s="12" t="s">
        <v>92</v>
      </c>
      <c r="B32" s="13" t="s">
        <v>9</v>
      </c>
      <c r="C32" s="13" t="s">
        <v>10</v>
      </c>
      <c r="D32" s="13" t="s">
        <v>11</v>
      </c>
      <c r="E32" s="12" t="s">
        <v>95</v>
      </c>
      <c r="F32" s="13" t="s">
        <v>96</v>
      </c>
      <c r="G32" s="11" t="s">
        <v>14</v>
      </c>
    </row>
    <row r="33" customFormat="false" ht="30" hidden="false" customHeight="true" outlineLevel="0" collapsed="false">
      <c r="A33" s="9" t="s">
        <v>92</v>
      </c>
      <c r="B33" s="10" t="s">
        <v>9</v>
      </c>
      <c r="C33" s="10" t="s">
        <v>34</v>
      </c>
      <c r="D33" s="10" t="s">
        <v>11</v>
      </c>
      <c r="E33" s="10" t="s">
        <v>97</v>
      </c>
      <c r="F33" s="10"/>
      <c r="G33" s="11" t="s">
        <v>14</v>
      </c>
    </row>
    <row r="34" customFormat="false" ht="30" hidden="false" customHeight="true" outlineLevel="0" collapsed="false">
      <c r="A34" s="12" t="s">
        <v>98</v>
      </c>
      <c r="B34" s="13" t="s">
        <v>31</v>
      </c>
      <c r="C34" s="13" t="s">
        <v>26</v>
      </c>
      <c r="D34" s="13" t="s">
        <v>11</v>
      </c>
      <c r="E34" s="13" t="s">
        <v>99</v>
      </c>
      <c r="F34" s="13" t="s">
        <v>100</v>
      </c>
      <c r="G34" s="11" t="s">
        <v>14</v>
      </c>
    </row>
    <row r="35" customFormat="false" ht="30" hidden="false" customHeight="true" outlineLevel="0" collapsed="false">
      <c r="A35" s="9" t="s">
        <v>101</v>
      </c>
      <c r="B35" s="10" t="s">
        <v>40</v>
      </c>
      <c r="C35" s="10" t="s">
        <v>26</v>
      </c>
      <c r="D35" s="10" t="s">
        <v>11</v>
      </c>
      <c r="E35" s="10" t="s">
        <v>102</v>
      </c>
      <c r="F35" s="10" t="s">
        <v>103</v>
      </c>
      <c r="G35" s="11" t="s">
        <v>14</v>
      </c>
    </row>
    <row r="36" customFormat="false" ht="30" hidden="false" customHeight="true" outlineLevel="0" collapsed="false">
      <c r="A36" s="12" t="s">
        <v>101</v>
      </c>
      <c r="B36" s="13" t="s">
        <v>40</v>
      </c>
      <c r="C36" s="13" t="s">
        <v>34</v>
      </c>
      <c r="D36" s="13" t="s">
        <v>11</v>
      </c>
      <c r="E36" s="13" t="s">
        <v>104</v>
      </c>
      <c r="F36" s="13" t="s">
        <v>105</v>
      </c>
      <c r="G36" s="11" t="s">
        <v>14</v>
      </c>
    </row>
    <row r="37" customFormat="false" ht="30" hidden="false" customHeight="true" outlineLevel="0" collapsed="false">
      <c r="A37" s="9" t="s">
        <v>101</v>
      </c>
      <c r="B37" s="10" t="s">
        <v>40</v>
      </c>
      <c r="C37" s="10" t="s">
        <v>34</v>
      </c>
      <c r="D37" s="10" t="s">
        <v>11</v>
      </c>
      <c r="E37" s="10" t="s">
        <v>106</v>
      </c>
      <c r="F37" s="10" t="s">
        <v>107</v>
      </c>
      <c r="G37" s="11" t="s">
        <v>14</v>
      </c>
    </row>
    <row r="38" customFormat="false" ht="30" hidden="false" customHeight="true" outlineLevel="0" collapsed="false">
      <c r="A38" s="12" t="s">
        <v>101</v>
      </c>
      <c r="B38" s="13" t="s">
        <v>40</v>
      </c>
      <c r="C38" s="13" t="s">
        <v>10</v>
      </c>
      <c r="D38" s="13" t="s">
        <v>11</v>
      </c>
      <c r="E38" s="13" t="s">
        <v>108</v>
      </c>
      <c r="F38" s="13"/>
      <c r="G38" s="11" t="s">
        <v>14</v>
      </c>
    </row>
    <row r="39" customFormat="false" ht="30" hidden="false" customHeight="true" outlineLevel="0" collapsed="false">
      <c r="A39" s="9" t="s">
        <v>109</v>
      </c>
      <c r="B39" s="10" t="s">
        <v>53</v>
      </c>
      <c r="C39" s="10" t="s">
        <v>27</v>
      </c>
      <c r="D39" s="10" t="s">
        <v>49</v>
      </c>
      <c r="E39" s="10" t="s">
        <v>110</v>
      </c>
      <c r="F39" s="10" t="s">
        <v>111</v>
      </c>
      <c r="G39" s="11" t="s">
        <v>14</v>
      </c>
    </row>
    <row r="40" customFormat="false" ht="30" hidden="false" customHeight="true" outlineLevel="0" collapsed="false">
      <c r="A40" s="12" t="s">
        <v>112</v>
      </c>
      <c r="B40" s="13" t="s">
        <v>59</v>
      </c>
      <c r="C40" s="13" t="s">
        <v>27</v>
      </c>
      <c r="D40" s="13" t="s">
        <v>49</v>
      </c>
      <c r="E40" s="12" t="s">
        <v>113</v>
      </c>
      <c r="F40" s="13" t="s">
        <v>114</v>
      </c>
      <c r="G40" s="11" t="s">
        <v>14</v>
      </c>
    </row>
    <row r="41" customFormat="false" ht="30" hidden="false" customHeight="true" outlineLevel="0" collapsed="false">
      <c r="A41" s="9" t="s">
        <v>112</v>
      </c>
      <c r="B41" s="10" t="s">
        <v>59</v>
      </c>
      <c r="C41" s="10" t="s">
        <v>27</v>
      </c>
      <c r="D41" s="10" t="s">
        <v>49</v>
      </c>
      <c r="E41" s="9" t="s">
        <v>115</v>
      </c>
      <c r="F41" s="10" t="s">
        <v>116</v>
      </c>
      <c r="G41" s="11" t="s">
        <v>14</v>
      </c>
    </row>
    <row r="42" customFormat="false" ht="30" hidden="false" customHeight="true" outlineLevel="0" collapsed="false">
      <c r="A42" s="12" t="s">
        <v>112</v>
      </c>
      <c r="B42" s="13" t="s">
        <v>59</v>
      </c>
      <c r="C42" s="13" t="s">
        <v>10</v>
      </c>
      <c r="D42" s="13" t="s">
        <v>11</v>
      </c>
      <c r="E42" s="13" t="s">
        <v>117</v>
      </c>
      <c r="F42" s="13"/>
      <c r="G42" s="11" t="s">
        <v>14</v>
      </c>
    </row>
    <row r="43" customFormat="false" ht="30" hidden="false" customHeight="true" outlineLevel="0" collapsed="false">
      <c r="A43" s="9" t="s">
        <v>112</v>
      </c>
      <c r="B43" s="10" t="s">
        <v>59</v>
      </c>
      <c r="C43" s="10" t="s">
        <v>34</v>
      </c>
      <c r="D43" s="10" t="s">
        <v>11</v>
      </c>
      <c r="E43" s="10" t="s">
        <v>118</v>
      </c>
      <c r="F43" s="10" t="s">
        <v>119</v>
      </c>
      <c r="G43" s="11" t="s">
        <v>14</v>
      </c>
    </row>
    <row r="44" customFormat="false" ht="30" hidden="false" customHeight="true" outlineLevel="0" collapsed="false">
      <c r="A44" s="12" t="s">
        <v>120</v>
      </c>
      <c r="B44" s="13" t="s">
        <v>67</v>
      </c>
      <c r="C44" s="13" t="s">
        <v>27</v>
      </c>
      <c r="D44" s="13" t="s">
        <v>121</v>
      </c>
      <c r="E44" s="13" t="s">
        <v>122</v>
      </c>
      <c r="F44" s="12" t="s">
        <v>123</v>
      </c>
      <c r="G44" s="11" t="s">
        <v>14</v>
      </c>
    </row>
    <row r="45" customFormat="false" ht="30" hidden="false" customHeight="true" outlineLevel="0" collapsed="false">
      <c r="A45" s="9" t="s">
        <v>124</v>
      </c>
      <c r="B45" s="10" t="s">
        <v>9</v>
      </c>
      <c r="C45" s="10" t="s">
        <v>34</v>
      </c>
      <c r="D45" s="10" t="s">
        <v>11</v>
      </c>
      <c r="E45" s="10" t="s">
        <v>125</v>
      </c>
      <c r="F45" s="10"/>
      <c r="G45" s="11" t="s">
        <v>14</v>
      </c>
    </row>
    <row r="46" customFormat="false" ht="30" hidden="false" customHeight="true" outlineLevel="0" collapsed="false">
      <c r="A46" s="12" t="s">
        <v>126</v>
      </c>
      <c r="B46" s="13" t="s">
        <v>31</v>
      </c>
      <c r="C46" s="13" t="s">
        <v>27</v>
      </c>
      <c r="D46" s="13" t="s">
        <v>49</v>
      </c>
      <c r="E46" s="13" t="s">
        <v>127</v>
      </c>
      <c r="F46" s="13" t="s">
        <v>128</v>
      </c>
      <c r="G46" s="11" t="s">
        <v>14</v>
      </c>
    </row>
    <row r="47" customFormat="false" ht="30" hidden="false" customHeight="true" outlineLevel="0" collapsed="false">
      <c r="A47" s="9" t="s">
        <v>129</v>
      </c>
      <c r="B47" s="10" t="s">
        <v>40</v>
      </c>
      <c r="C47" s="10" t="s">
        <v>27</v>
      </c>
      <c r="D47" s="10" t="s">
        <v>121</v>
      </c>
      <c r="E47" s="9" t="s">
        <v>130</v>
      </c>
      <c r="F47" s="10"/>
      <c r="G47" s="11" t="s">
        <v>14</v>
      </c>
    </row>
    <row r="48" customFormat="false" ht="30" hidden="false" customHeight="true" outlineLevel="0" collapsed="false">
      <c r="A48" s="12" t="s">
        <v>131</v>
      </c>
      <c r="B48" s="13"/>
      <c r="C48" s="13" t="s">
        <v>27</v>
      </c>
      <c r="D48" s="13" t="s">
        <v>23</v>
      </c>
      <c r="E48" s="13" t="s">
        <v>132</v>
      </c>
      <c r="F48" s="13" t="s">
        <v>133</v>
      </c>
      <c r="G48" s="11" t="s">
        <v>14</v>
      </c>
    </row>
    <row r="49" customFormat="false" ht="30" hidden="false" customHeight="true" outlineLevel="0" collapsed="false">
      <c r="A49" s="9" t="s">
        <v>134</v>
      </c>
      <c r="B49" s="10"/>
      <c r="C49" s="10" t="s">
        <v>10</v>
      </c>
      <c r="D49" s="10" t="s">
        <v>11</v>
      </c>
      <c r="E49" s="9" t="s">
        <v>135</v>
      </c>
      <c r="F49" s="10" t="s">
        <v>136</v>
      </c>
      <c r="G49" s="11" t="s">
        <v>14</v>
      </c>
    </row>
    <row r="50" customFormat="false" ht="30" hidden="false" customHeight="true" outlineLevel="0" collapsed="false">
      <c r="A50" s="12" t="s">
        <v>134</v>
      </c>
      <c r="B50" s="13"/>
      <c r="C50" s="13" t="s">
        <v>34</v>
      </c>
      <c r="D50" s="13" t="s">
        <v>11</v>
      </c>
      <c r="E50" s="13" t="s">
        <v>137</v>
      </c>
      <c r="F50" s="13"/>
      <c r="G50" s="11" t="s">
        <v>14</v>
      </c>
    </row>
    <row r="51" customFormat="false" ht="30" hidden="false" customHeight="true" outlineLevel="0" collapsed="false">
      <c r="A51" s="9" t="s">
        <v>134</v>
      </c>
      <c r="B51" s="10"/>
      <c r="C51" s="10" t="s">
        <v>26</v>
      </c>
      <c r="D51" s="10" t="s">
        <v>11</v>
      </c>
      <c r="E51" s="10" t="s">
        <v>138</v>
      </c>
      <c r="F51" s="10" t="s">
        <v>139</v>
      </c>
      <c r="G51" s="11" t="s">
        <v>14</v>
      </c>
    </row>
    <row r="52" customFormat="false" ht="30" hidden="false" customHeight="true" outlineLevel="0" collapsed="false">
      <c r="A52" s="12" t="s">
        <v>134</v>
      </c>
      <c r="B52" s="13"/>
      <c r="C52" s="13" t="s">
        <v>26</v>
      </c>
      <c r="D52" s="13" t="s">
        <v>11</v>
      </c>
      <c r="E52" s="13" t="s">
        <v>140</v>
      </c>
      <c r="F52" s="13" t="s">
        <v>141</v>
      </c>
      <c r="G52" s="11" t="s">
        <v>14</v>
      </c>
    </row>
    <row r="53" customFormat="false" ht="30" hidden="false" customHeight="true" outlineLevel="0" collapsed="false">
      <c r="A53" s="9" t="s">
        <v>134</v>
      </c>
      <c r="B53" s="10"/>
      <c r="C53" s="10" t="s">
        <v>22</v>
      </c>
      <c r="D53" s="10" t="s">
        <v>11</v>
      </c>
      <c r="E53" s="10" t="s">
        <v>142</v>
      </c>
      <c r="F53" s="9" t="s">
        <v>143</v>
      </c>
      <c r="G53" s="11" t="s">
        <v>14</v>
      </c>
    </row>
    <row r="54" customFormat="false" ht="30" hidden="false" customHeight="true" outlineLevel="0" collapsed="false">
      <c r="A54" s="12" t="s">
        <v>134</v>
      </c>
      <c r="B54" s="13"/>
      <c r="C54" s="13" t="s">
        <v>22</v>
      </c>
      <c r="D54" s="13" t="s">
        <v>11</v>
      </c>
      <c r="E54" s="12" t="s">
        <v>144</v>
      </c>
      <c r="F54" s="12" t="s">
        <v>145</v>
      </c>
      <c r="G54" s="11" t="s">
        <v>14</v>
      </c>
    </row>
    <row r="55" customFormat="false" ht="30" hidden="false" customHeight="true" outlineLevel="0" collapsed="false">
      <c r="A55" s="9" t="s">
        <v>134</v>
      </c>
      <c r="B55" s="10"/>
      <c r="C55" s="10" t="s">
        <v>10</v>
      </c>
      <c r="D55" s="10" t="s">
        <v>146</v>
      </c>
      <c r="E55" s="10" t="s">
        <v>147</v>
      </c>
      <c r="F55" s="9" t="s">
        <v>148</v>
      </c>
      <c r="G55" s="11" t="s">
        <v>14</v>
      </c>
    </row>
    <row r="56" customFormat="false" ht="30" hidden="false" customHeight="true" outlineLevel="0" collapsed="false">
      <c r="A56" s="13" t="s">
        <v>149</v>
      </c>
      <c r="B56" s="13"/>
      <c r="C56" s="13" t="s">
        <v>60</v>
      </c>
      <c r="D56" s="13" t="s">
        <v>49</v>
      </c>
      <c r="E56" s="13" t="s">
        <v>150</v>
      </c>
      <c r="F56" s="12" t="s">
        <v>151</v>
      </c>
      <c r="G56" s="11" t="s">
        <v>14</v>
      </c>
    </row>
    <row r="57" customFormat="false" ht="30" hidden="false" customHeight="true" outlineLevel="0" collapsed="false">
      <c r="A57" s="9" t="s">
        <v>152</v>
      </c>
      <c r="B57" s="10"/>
      <c r="C57" s="10" t="s">
        <v>34</v>
      </c>
      <c r="D57" s="10" t="s">
        <v>11</v>
      </c>
      <c r="E57" s="10" t="s">
        <v>153</v>
      </c>
      <c r="F57" s="10" t="s">
        <v>154</v>
      </c>
      <c r="G57" s="11" t="s">
        <v>14</v>
      </c>
    </row>
    <row r="58" customFormat="false" ht="30" hidden="false" customHeight="true" outlineLevel="0" collapsed="false">
      <c r="A58" s="12" t="s">
        <v>152</v>
      </c>
      <c r="B58" s="13"/>
      <c r="C58" s="13" t="s">
        <v>34</v>
      </c>
      <c r="D58" s="13" t="s">
        <v>11</v>
      </c>
      <c r="E58" s="13" t="s">
        <v>155</v>
      </c>
      <c r="F58" s="13"/>
      <c r="G58" s="11" t="s">
        <v>14</v>
      </c>
    </row>
    <row r="59" customFormat="false" ht="30" hidden="false" customHeight="true" outlineLevel="0" collapsed="false">
      <c r="A59" s="9" t="s">
        <v>156</v>
      </c>
      <c r="B59" s="10"/>
      <c r="C59" s="10" t="s">
        <v>26</v>
      </c>
      <c r="D59" s="10" t="s">
        <v>11</v>
      </c>
      <c r="E59" s="10" t="s">
        <v>157</v>
      </c>
      <c r="F59" s="10"/>
      <c r="G59" s="11" t="s">
        <v>14</v>
      </c>
    </row>
    <row r="60" customFormat="false" ht="30" hidden="false" customHeight="true" outlineLevel="0" collapsed="false">
      <c r="A60" s="12" t="s">
        <v>156</v>
      </c>
      <c r="B60" s="13"/>
      <c r="C60" s="13" t="s">
        <v>22</v>
      </c>
      <c r="D60" s="13" t="s">
        <v>11</v>
      </c>
      <c r="E60" s="13" t="s">
        <v>158</v>
      </c>
      <c r="F60" s="12" t="s">
        <v>159</v>
      </c>
      <c r="G60" s="11" t="s">
        <v>14</v>
      </c>
    </row>
    <row r="61" customFormat="false" ht="30" hidden="false" customHeight="true" outlineLevel="0" collapsed="false">
      <c r="A61" s="9" t="s">
        <v>156</v>
      </c>
      <c r="B61" s="10"/>
      <c r="C61" s="10" t="s">
        <v>26</v>
      </c>
      <c r="D61" s="10" t="s">
        <v>11</v>
      </c>
      <c r="E61" s="10" t="s">
        <v>160</v>
      </c>
      <c r="F61" s="10"/>
      <c r="G61" s="11" t="s">
        <v>14</v>
      </c>
    </row>
    <row r="62" customFormat="false" ht="30" hidden="false" customHeight="true" outlineLevel="0" collapsed="false">
      <c r="A62" s="12" t="s">
        <v>156</v>
      </c>
      <c r="B62" s="13"/>
      <c r="C62" s="13" t="s">
        <v>34</v>
      </c>
      <c r="D62" s="13" t="s">
        <v>11</v>
      </c>
      <c r="E62" s="13" t="s">
        <v>161</v>
      </c>
      <c r="F62" s="13" t="s">
        <v>162</v>
      </c>
      <c r="G62" s="11" t="s">
        <v>14</v>
      </c>
    </row>
    <row r="63" customFormat="false" ht="30" hidden="false" customHeight="true" outlineLevel="0" collapsed="false">
      <c r="A63" s="9" t="s">
        <v>156</v>
      </c>
      <c r="B63" s="10"/>
      <c r="C63" s="10" t="s">
        <v>34</v>
      </c>
      <c r="D63" s="10" t="s">
        <v>11</v>
      </c>
      <c r="E63" s="10" t="s">
        <v>163</v>
      </c>
      <c r="F63" s="10"/>
      <c r="G63" s="11" t="s">
        <v>14</v>
      </c>
    </row>
    <row r="64" customFormat="false" ht="30" hidden="false" customHeight="true" outlineLevel="0" collapsed="false">
      <c r="A64" s="12" t="s">
        <v>156</v>
      </c>
      <c r="B64" s="13"/>
      <c r="C64" s="13" t="s">
        <v>34</v>
      </c>
      <c r="D64" s="13" t="s">
        <v>11</v>
      </c>
      <c r="E64" s="13" t="s">
        <v>164</v>
      </c>
      <c r="F64" s="13" t="s">
        <v>165</v>
      </c>
      <c r="G64" s="11" t="s">
        <v>14</v>
      </c>
    </row>
    <row r="65" customFormat="false" ht="30" hidden="false" customHeight="true" outlineLevel="0" collapsed="false">
      <c r="A65" s="9" t="s">
        <v>166</v>
      </c>
      <c r="B65" s="10"/>
      <c r="C65" s="10" t="s">
        <v>27</v>
      </c>
      <c r="D65" s="10" t="s">
        <v>49</v>
      </c>
      <c r="E65" s="10" t="s">
        <v>167</v>
      </c>
      <c r="F65" s="10"/>
      <c r="G65" s="11" t="s">
        <v>14</v>
      </c>
    </row>
    <row r="66" customFormat="false" ht="30" hidden="false" customHeight="true" outlineLevel="0" collapsed="false">
      <c r="A66" s="12" t="s">
        <v>168</v>
      </c>
      <c r="B66" s="13"/>
      <c r="C66" s="13" t="s">
        <v>27</v>
      </c>
      <c r="D66" s="13" t="s">
        <v>121</v>
      </c>
      <c r="E66" s="13" t="s">
        <v>169</v>
      </c>
      <c r="F66" s="13"/>
      <c r="G66" s="11" t="s">
        <v>14</v>
      </c>
    </row>
  </sheetData>
  <autoFilter ref="A1:G66"/>
  <dataValidations count="1">
    <dataValidation allowBlank="true" errorStyle="stop" operator="between" showDropDown="false" showErrorMessage="false" showInputMessage="false" sqref="G2:G66" type="list">
      <formula1>"대기,진행,완료,보류"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5" min="5" style="0" width="54"/>
    <col collapsed="false" customWidth="true" hidden="false" outlineLevel="0" max="6" min="6" style="0" width="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30" hidden="false" customHeight="true" outlineLevel="0" collapsed="false">
      <c r="A2" s="3" t="s">
        <v>8</v>
      </c>
      <c r="B2" s="4" t="s">
        <v>9</v>
      </c>
      <c r="C2" s="4" t="s">
        <v>23</v>
      </c>
      <c r="D2" s="4" t="s">
        <v>28</v>
      </c>
      <c r="E2" s="4" t="s">
        <v>29</v>
      </c>
      <c r="F2" s="6" t="s">
        <v>14</v>
      </c>
    </row>
    <row r="3" customFormat="false" ht="30" hidden="false" customHeight="true" outlineLevel="0" collapsed="false">
      <c r="A3" s="3" t="s">
        <v>30</v>
      </c>
      <c r="B3" s="4" t="s">
        <v>31</v>
      </c>
      <c r="C3" s="4" t="s">
        <v>11</v>
      </c>
      <c r="D3" s="5" t="s">
        <v>32</v>
      </c>
      <c r="E3" s="5" t="s">
        <v>33</v>
      </c>
      <c r="F3" s="6" t="s">
        <v>14</v>
      </c>
    </row>
    <row r="4" customFormat="false" ht="30" hidden="false" customHeight="true" outlineLevel="0" collapsed="false">
      <c r="A4" s="3" t="s">
        <v>52</v>
      </c>
      <c r="B4" s="4" t="s">
        <v>53</v>
      </c>
      <c r="C4" s="4" t="s">
        <v>11</v>
      </c>
      <c r="D4" s="4" t="s">
        <v>54</v>
      </c>
      <c r="E4" s="4" t="s">
        <v>55</v>
      </c>
      <c r="F4" s="6" t="s">
        <v>14</v>
      </c>
    </row>
    <row r="5" customFormat="false" ht="30" hidden="false" customHeight="true" outlineLevel="0" collapsed="false">
      <c r="A5" s="9" t="s">
        <v>58</v>
      </c>
      <c r="B5" s="10" t="s">
        <v>59</v>
      </c>
      <c r="C5" s="10" t="s">
        <v>49</v>
      </c>
      <c r="D5" s="10" t="s">
        <v>61</v>
      </c>
      <c r="E5" s="10" t="s">
        <v>62</v>
      </c>
      <c r="F5" s="11" t="s">
        <v>14</v>
      </c>
    </row>
    <row r="6" customFormat="false" ht="30" hidden="false" customHeight="true" outlineLevel="0" collapsed="false">
      <c r="A6" s="12" t="s">
        <v>79</v>
      </c>
      <c r="B6" s="13" t="s">
        <v>80</v>
      </c>
      <c r="C6" s="13" t="s">
        <v>11</v>
      </c>
      <c r="D6" s="13" t="s">
        <v>81</v>
      </c>
      <c r="E6" s="13" t="s">
        <v>82</v>
      </c>
      <c r="F6" s="11" t="s">
        <v>14</v>
      </c>
    </row>
    <row r="7" customFormat="false" ht="30" hidden="false" customHeight="true" outlineLevel="0" collapsed="false">
      <c r="A7" s="9" t="s">
        <v>79</v>
      </c>
      <c r="B7" s="10" t="s">
        <v>80</v>
      </c>
      <c r="C7" s="10" t="s">
        <v>11</v>
      </c>
      <c r="D7" s="10" t="s">
        <v>83</v>
      </c>
      <c r="E7" s="10" t="s">
        <v>84</v>
      </c>
      <c r="F7" s="11" t="s">
        <v>14</v>
      </c>
    </row>
    <row r="8" customFormat="false" ht="30" hidden="false" customHeight="true" outlineLevel="0" collapsed="false">
      <c r="A8" s="12" t="s">
        <v>79</v>
      </c>
      <c r="B8" s="13" t="s">
        <v>80</v>
      </c>
      <c r="C8" s="13" t="s">
        <v>49</v>
      </c>
      <c r="D8" s="12" t="s">
        <v>85</v>
      </c>
      <c r="E8" s="13" t="s">
        <v>86</v>
      </c>
      <c r="F8" s="11" t="s">
        <v>14</v>
      </c>
    </row>
    <row r="9" customFormat="false" ht="30" hidden="false" customHeight="true" outlineLevel="0" collapsed="false">
      <c r="A9" s="9" t="s">
        <v>79</v>
      </c>
      <c r="B9" s="10" t="s">
        <v>80</v>
      </c>
      <c r="C9" s="10" t="s">
        <v>49</v>
      </c>
      <c r="D9" s="9" t="s">
        <v>88</v>
      </c>
      <c r="E9" s="10" t="s">
        <v>89</v>
      </c>
      <c r="F9" s="11" t="s">
        <v>14</v>
      </c>
    </row>
    <row r="10" customFormat="false" ht="30" hidden="false" customHeight="true" outlineLevel="0" collapsed="false">
      <c r="A10" s="12" t="s">
        <v>98</v>
      </c>
      <c r="B10" s="13" t="s">
        <v>31</v>
      </c>
      <c r="C10" s="13" t="s">
        <v>11</v>
      </c>
      <c r="D10" s="13" t="s">
        <v>99</v>
      </c>
      <c r="E10" s="13" t="s">
        <v>100</v>
      </c>
      <c r="F10" s="11" t="s">
        <v>14</v>
      </c>
    </row>
    <row r="11" customFormat="false" ht="30" hidden="false" customHeight="true" outlineLevel="0" collapsed="false">
      <c r="A11" s="9" t="s">
        <v>101</v>
      </c>
      <c r="B11" s="10" t="s">
        <v>40</v>
      </c>
      <c r="C11" s="10" t="s">
        <v>11</v>
      </c>
      <c r="D11" s="10" t="s">
        <v>102</v>
      </c>
      <c r="E11" s="10" t="s">
        <v>103</v>
      </c>
      <c r="F11" s="11" t="s">
        <v>14</v>
      </c>
    </row>
    <row r="12" customFormat="false" ht="30" hidden="false" customHeight="true" outlineLevel="0" collapsed="false">
      <c r="A12" s="12" t="s">
        <v>109</v>
      </c>
      <c r="B12" s="13" t="s">
        <v>53</v>
      </c>
      <c r="C12" s="13" t="s">
        <v>49</v>
      </c>
      <c r="D12" s="13" t="s">
        <v>110</v>
      </c>
      <c r="E12" s="13" t="s">
        <v>111</v>
      </c>
      <c r="F12" s="11" t="s">
        <v>14</v>
      </c>
    </row>
    <row r="13" customFormat="false" ht="30" hidden="false" customHeight="true" outlineLevel="0" collapsed="false">
      <c r="A13" s="9" t="s">
        <v>112</v>
      </c>
      <c r="B13" s="10" t="s">
        <v>59</v>
      </c>
      <c r="C13" s="10" t="s">
        <v>49</v>
      </c>
      <c r="D13" s="9" t="s">
        <v>113</v>
      </c>
      <c r="E13" s="10" t="s">
        <v>114</v>
      </c>
      <c r="F13" s="11" t="s">
        <v>14</v>
      </c>
    </row>
    <row r="14" customFormat="false" ht="30" hidden="false" customHeight="true" outlineLevel="0" collapsed="false">
      <c r="A14" s="12" t="s">
        <v>112</v>
      </c>
      <c r="B14" s="13" t="s">
        <v>59</v>
      </c>
      <c r="C14" s="13" t="s">
        <v>49</v>
      </c>
      <c r="D14" s="12" t="s">
        <v>115</v>
      </c>
      <c r="E14" s="13" t="s">
        <v>116</v>
      </c>
      <c r="F14" s="11" t="s">
        <v>14</v>
      </c>
    </row>
    <row r="15" customFormat="false" ht="30" hidden="false" customHeight="true" outlineLevel="0" collapsed="false">
      <c r="A15" s="9" t="s">
        <v>120</v>
      </c>
      <c r="B15" s="10" t="s">
        <v>67</v>
      </c>
      <c r="C15" s="10" t="s">
        <v>121</v>
      </c>
      <c r="D15" s="10" t="s">
        <v>122</v>
      </c>
      <c r="E15" s="9" t="s">
        <v>123</v>
      </c>
      <c r="F15" s="11" t="s">
        <v>14</v>
      </c>
    </row>
    <row r="16" customFormat="false" ht="30" hidden="false" customHeight="true" outlineLevel="0" collapsed="false">
      <c r="A16" s="12" t="s">
        <v>126</v>
      </c>
      <c r="B16" s="13" t="s">
        <v>31</v>
      </c>
      <c r="C16" s="13" t="s">
        <v>49</v>
      </c>
      <c r="D16" s="13" t="s">
        <v>127</v>
      </c>
      <c r="E16" s="13" t="s">
        <v>128</v>
      </c>
      <c r="F16" s="11" t="s">
        <v>14</v>
      </c>
    </row>
    <row r="17" customFormat="false" ht="30" hidden="false" customHeight="true" outlineLevel="0" collapsed="false">
      <c r="A17" s="9" t="s">
        <v>129</v>
      </c>
      <c r="B17" s="10" t="s">
        <v>40</v>
      </c>
      <c r="C17" s="10" t="s">
        <v>121</v>
      </c>
      <c r="D17" s="9" t="s">
        <v>130</v>
      </c>
      <c r="E17" s="10"/>
      <c r="F17" s="11" t="s">
        <v>14</v>
      </c>
    </row>
    <row r="18" customFormat="false" ht="30" hidden="false" customHeight="true" outlineLevel="0" collapsed="false">
      <c r="A18" s="12" t="s">
        <v>131</v>
      </c>
      <c r="B18" s="13"/>
      <c r="C18" s="13" t="s">
        <v>23</v>
      </c>
      <c r="D18" s="13" t="s">
        <v>132</v>
      </c>
      <c r="E18" s="13" t="s">
        <v>133</v>
      </c>
      <c r="F18" s="11" t="s">
        <v>14</v>
      </c>
    </row>
    <row r="19" customFormat="false" ht="30" hidden="false" customHeight="true" outlineLevel="0" collapsed="false">
      <c r="A19" s="9" t="s">
        <v>134</v>
      </c>
      <c r="B19" s="10"/>
      <c r="C19" s="10" t="s">
        <v>11</v>
      </c>
      <c r="D19" s="10" t="s">
        <v>138</v>
      </c>
      <c r="E19" s="10" t="s">
        <v>139</v>
      </c>
      <c r="F19" s="11" t="s">
        <v>14</v>
      </c>
    </row>
    <row r="20" customFormat="false" ht="30" hidden="false" customHeight="true" outlineLevel="0" collapsed="false">
      <c r="A20" s="12" t="s">
        <v>134</v>
      </c>
      <c r="B20" s="13"/>
      <c r="C20" s="13" t="s">
        <v>11</v>
      </c>
      <c r="D20" s="13" t="s">
        <v>140</v>
      </c>
      <c r="E20" s="13" t="s">
        <v>141</v>
      </c>
      <c r="F20" s="11" t="s">
        <v>14</v>
      </c>
    </row>
    <row r="21" customFormat="false" ht="30" hidden="false" customHeight="true" outlineLevel="0" collapsed="false">
      <c r="A21" s="10" t="s">
        <v>149</v>
      </c>
      <c r="B21" s="10"/>
      <c r="C21" s="10" t="s">
        <v>49</v>
      </c>
      <c r="D21" s="10" t="s">
        <v>150</v>
      </c>
      <c r="E21" s="9" t="s">
        <v>151</v>
      </c>
      <c r="F21" s="11" t="s">
        <v>14</v>
      </c>
    </row>
    <row r="22" customFormat="false" ht="30" hidden="false" customHeight="true" outlineLevel="0" collapsed="false">
      <c r="A22" s="12" t="s">
        <v>156</v>
      </c>
      <c r="B22" s="13"/>
      <c r="C22" s="13" t="s">
        <v>11</v>
      </c>
      <c r="D22" s="13" t="s">
        <v>157</v>
      </c>
      <c r="E22" s="13"/>
      <c r="F22" s="11" t="s">
        <v>14</v>
      </c>
    </row>
    <row r="23" customFormat="false" ht="30" hidden="false" customHeight="true" outlineLevel="0" collapsed="false">
      <c r="A23" s="9" t="s">
        <v>156</v>
      </c>
      <c r="B23" s="10"/>
      <c r="C23" s="10" t="s">
        <v>11</v>
      </c>
      <c r="D23" s="10" t="s">
        <v>160</v>
      </c>
      <c r="E23" s="10"/>
      <c r="F23" s="11" t="s">
        <v>14</v>
      </c>
    </row>
    <row r="24" customFormat="false" ht="30" hidden="false" customHeight="true" outlineLevel="0" collapsed="false">
      <c r="A24" s="12" t="s">
        <v>166</v>
      </c>
      <c r="B24" s="13"/>
      <c r="C24" s="13" t="s">
        <v>49</v>
      </c>
      <c r="D24" s="13" t="s">
        <v>167</v>
      </c>
      <c r="E24" s="13"/>
      <c r="F24" s="11" t="s">
        <v>14</v>
      </c>
    </row>
    <row r="25" customFormat="false" ht="30" hidden="false" customHeight="true" outlineLevel="0" collapsed="false">
      <c r="A25" s="9" t="s">
        <v>168</v>
      </c>
      <c r="B25" s="10"/>
      <c r="C25" s="10" t="s">
        <v>121</v>
      </c>
      <c r="D25" s="10" t="s">
        <v>169</v>
      </c>
      <c r="E25" s="10"/>
      <c r="F25" s="11" t="s">
        <v>14</v>
      </c>
    </row>
  </sheetData>
  <autoFilter ref="A1:F25"/>
  <dataValidations count="1">
    <dataValidation allowBlank="true" errorStyle="stop" operator="between" showDropDown="false" showErrorMessage="false" showInputMessage="false" sqref="F2:F25" type="list">
      <formula1>"대기,진행,완료,보류"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5" min="5" style="0" width="54"/>
    <col collapsed="false" customWidth="true" hidden="false" outlineLevel="0" max="6" min="6" style="0" width="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30" hidden="false" customHeight="true" outlineLevel="0" collapsed="false">
      <c r="A2" s="3" t="s">
        <v>8</v>
      </c>
      <c r="B2" s="4" t="s">
        <v>9</v>
      </c>
      <c r="C2" s="4" t="s">
        <v>23</v>
      </c>
      <c r="D2" s="4" t="s">
        <v>24</v>
      </c>
      <c r="E2" s="5" t="s">
        <v>25</v>
      </c>
      <c r="F2" s="6" t="s">
        <v>14</v>
      </c>
    </row>
    <row r="3" customFormat="false" ht="30" hidden="false" customHeight="true" outlineLevel="0" collapsed="false">
      <c r="A3" s="3" t="s">
        <v>8</v>
      </c>
      <c r="B3" s="4" t="s">
        <v>9</v>
      </c>
      <c r="C3" s="4" t="s">
        <v>23</v>
      </c>
      <c r="D3" s="4" t="s">
        <v>28</v>
      </c>
      <c r="E3" s="4" t="s">
        <v>29</v>
      </c>
      <c r="F3" s="6" t="s">
        <v>14</v>
      </c>
    </row>
    <row r="4" customFormat="false" ht="30" hidden="false" customHeight="true" outlineLevel="0" collapsed="false">
      <c r="A4" s="3" t="s">
        <v>30</v>
      </c>
      <c r="B4" s="4" t="s">
        <v>31</v>
      </c>
      <c r="C4" s="4" t="s">
        <v>11</v>
      </c>
      <c r="D4" s="5" t="s">
        <v>35</v>
      </c>
      <c r="E4" s="5" t="s">
        <v>36</v>
      </c>
      <c r="F4" s="6" t="s">
        <v>14</v>
      </c>
    </row>
    <row r="5" customFormat="false" ht="30" hidden="false" customHeight="true" outlineLevel="0" collapsed="false">
      <c r="A5" s="3" t="s">
        <v>39</v>
      </c>
      <c r="B5" s="4" t="s">
        <v>40</v>
      </c>
      <c r="C5" s="4" t="s">
        <v>11</v>
      </c>
      <c r="D5" s="5" t="s">
        <v>45</v>
      </c>
      <c r="E5" s="5" t="s">
        <v>46</v>
      </c>
      <c r="F5" s="6" t="s">
        <v>14</v>
      </c>
    </row>
    <row r="6" customFormat="false" ht="30" hidden="false" customHeight="true" outlineLevel="0" collapsed="false">
      <c r="A6" s="3" t="s">
        <v>39</v>
      </c>
      <c r="B6" s="4" t="s">
        <v>40</v>
      </c>
      <c r="C6" s="4" t="s">
        <v>11</v>
      </c>
      <c r="D6" s="4" t="s">
        <v>47</v>
      </c>
      <c r="E6" s="4" t="s">
        <v>48</v>
      </c>
      <c r="F6" s="6" t="s">
        <v>14</v>
      </c>
    </row>
    <row r="7" customFormat="false" ht="30" hidden="false" customHeight="true" outlineLevel="0" collapsed="false">
      <c r="A7" s="3" t="s">
        <v>39</v>
      </c>
      <c r="B7" s="4" t="s">
        <v>40</v>
      </c>
      <c r="C7" s="4" t="s">
        <v>49</v>
      </c>
      <c r="D7" s="5" t="s">
        <v>50</v>
      </c>
      <c r="E7" s="5" t="s">
        <v>51</v>
      </c>
      <c r="F7" s="6" t="s">
        <v>14</v>
      </c>
    </row>
    <row r="8" customFormat="false" ht="30" hidden="false" customHeight="true" outlineLevel="0" collapsed="false">
      <c r="A8" s="12" t="s">
        <v>66</v>
      </c>
      <c r="B8" s="13" t="s">
        <v>67</v>
      </c>
      <c r="C8" s="13" t="s">
        <v>11</v>
      </c>
      <c r="D8" s="12" t="s">
        <v>68</v>
      </c>
      <c r="E8" s="12" t="s">
        <v>69</v>
      </c>
      <c r="F8" s="11" t="s">
        <v>14</v>
      </c>
    </row>
    <row r="9" customFormat="false" ht="30" hidden="false" customHeight="true" outlineLevel="0" collapsed="false">
      <c r="A9" s="9" t="s">
        <v>66</v>
      </c>
      <c r="B9" s="10" t="s">
        <v>67</v>
      </c>
      <c r="C9" s="10" t="s">
        <v>11</v>
      </c>
      <c r="D9" s="10" t="s">
        <v>70</v>
      </c>
      <c r="E9" s="9" t="s">
        <v>69</v>
      </c>
      <c r="F9" s="11" t="s">
        <v>14</v>
      </c>
    </row>
    <row r="10" customFormat="false" ht="30" hidden="false" customHeight="true" outlineLevel="0" collapsed="false">
      <c r="A10" s="12" t="s">
        <v>66</v>
      </c>
      <c r="B10" s="13" t="s">
        <v>67</v>
      </c>
      <c r="C10" s="13" t="s">
        <v>11</v>
      </c>
      <c r="D10" s="13" t="s">
        <v>71</v>
      </c>
      <c r="E10" s="13" t="s">
        <v>72</v>
      </c>
      <c r="F10" s="11" t="s">
        <v>14</v>
      </c>
    </row>
    <row r="11" customFormat="false" ht="30" hidden="false" customHeight="true" outlineLevel="0" collapsed="false">
      <c r="A11" s="9" t="s">
        <v>66</v>
      </c>
      <c r="B11" s="10" t="s">
        <v>67</v>
      </c>
      <c r="C11" s="10" t="s">
        <v>11</v>
      </c>
      <c r="D11" s="10" t="s">
        <v>73</v>
      </c>
      <c r="E11" s="9" t="s">
        <v>69</v>
      </c>
      <c r="F11" s="11" t="s">
        <v>14</v>
      </c>
    </row>
    <row r="12" customFormat="false" ht="30" hidden="false" customHeight="true" outlineLevel="0" collapsed="false">
      <c r="A12" s="12" t="s">
        <v>66</v>
      </c>
      <c r="B12" s="13" t="s">
        <v>67</v>
      </c>
      <c r="C12" s="13" t="s">
        <v>49</v>
      </c>
      <c r="D12" s="12" t="s">
        <v>75</v>
      </c>
      <c r="E12" s="13" t="s">
        <v>76</v>
      </c>
      <c r="F12" s="11" t="s">
        <v>14</v>
      </c>
    </row>
    <row r="13" customFormat="false" ht="30" hidden="false" customHeight="true" outlineLevel="0" collapsed="false">
      <c r="A13" s="9" t="s">
        <v>109</v>
      </c>
      <c r="B13" s="10" t="s">
        <v>53</v>
      </c>
      <c r="C13" s="10" t="s">
        <v>49</v>
      </c>
      <c r="D13" s="10" t="s">
        <v>110</v>
      </c>
      <c r="E13" s="10" t="s">
        <v>111</v>
      </c>
      <c r="F13" s="11" t="s">
        <v>14</v>
      </c>
    </row>
    <row r="14" customFormat="false" ht="30" hidden="false" customHeight="true" outlineLevel="0" collapsed="false">
      <c r="A14" s="12" t="s">
        <v>112</v>
      </c>
      <c r="B14" s="13" t="s">
        <v>59</v>
      </c>
      <c r="C14" s="13" t="s">
        <v>49</v>
      </c>
      <c r="D14" s="12" t="s">
        <v>113</v>
      </c>
      <c r="E14" s="13" t="s">
        <v>114</v>
      </c>
      <c r="F14" s="11" t="s">
        <v>14</v>
      </c>
    </row>
    <row r="15" customFormat="false" ht="30" hidden="false" customHeight="true" outlineLevel="0" collapsed="false">
      <c r="A15" s="9" t="s">
        <v>112</v>
      </c>
      <c r="B15" s="10" t="s">
        <v>59</v>
      </c>
      <c r="C15" s="10" t="s">
        <v>49</v>
      </c>
      <c r="D15" s="9" t="s">
        <v>115</v>
      </c>
      <c r="E15" s="10" t="s">
        <v>116</v>
      </c>
      <c r="F15" s="11" t="s">
        <v>14</v>
      </c>
    </row>
    <row r="16" customFormat="false" ht="30" hidden="false" customHeight="true" outlineLevel="0" collapsed="false">
      <c r="A16" s="12" t="s">
        <v>120</v>
      </c>
      <c r="B16" s="13" t="s">
        <v>67</v>
      </c>
      <c r="C16" s="13" t="s">
        <v>121</v>
      </c>
      <c r="D16" s="13" t="s">
        <v>122</v>
      </c>
      <c r="E16" s="12" t="s">
        <v>123</v>
      </c>
      <c r="F16" s="11" t="s">
        <v>14</v>
      </c>
    </row>
    <row r="17" customFormat="false" ht="30" hidden="false" customHeight="true" outlineLevel="0" collapsed="false">
      <c r="A17" s="9" t="s">
        <v>126</v>
      </c>
      <c r="B17" s="10" t="s">
        <v>31</v>
      </c>
      <c r="C17" s="10" t="s">
        <v>49</v>
      </c>
      <c r="D17" s="10" t="s">
        <v>127</v>
      </c>
      <c r="E17" s="10" t="s">
        <v>128</v>
      </c>
      <c r="F17" s="11" t="s">
        <v>14</v>
      </c>
    </row>
    <row r="18" customFormat="false" ht="30" hidden="false" customHeight="true" outlineLevel="0" collapsed="false">
      <c r="A18" s="12" t="s">
        <v>129</v>
      </c>
      <c r="B18" s="13" t="s">
        <v>40</v>
      </c>
      <c r="C18" s="13" t="s">
        <v>121</v>
      </c>
      <c r="D18" s="12" t="s">
        <v>130</v>
      </c>
      <c r="E18" s="13"/>
      <c r="F18" s="11" t="s">
        <v>14</v>
      </c>
    </row>
    <row r="19" customFormat="false" ht="30" hidden="false" customHeight="true" outlineLevel="0" collapsed="false">
      <c r="A19" s="9" t="s">
        <v>131</v>
      </c>
      <c r="B19" s="10"/>
      <c r="C19" s="10" t="s">
        <v>23</v>
      </c>
      <c r="D19" s="10" t="s">
        <v>132</v>
      </c>
      <c r="E19" s="10" t="s">
        <v>133</v>
      </c>
      <c r="F19" s="11" t="s">
        <v>14</v>
      </c>
    </row>
    <row r="20" customFormat="false" ht="30" hidden="false" customHeight="true" outlineLevel="0" collapsed="false">
      <c r="A20" s="12" t="s">
        <v>134</v>
      </c>
      <c r="B20" s="13"/>
      <c r="C20" s="13" t="s">
        <v>11</v>
      </c>
      <c r="D20" s="13" t="s">
        <v>142</v>
      </c>
      <c r="E20" s="12" t="s">
        <v>143</v>
      </c>
      <c r="F20" s="11" t="s">
        <v>14</v>
      </c>
    </row>
    <row r="21" customFormat="false" ht="30" hidden="false" customHeight="true" outlineLevel="0" collapsed="false">
      <c r="A21" s="9" t="s">
        <v>134</v>
      </c>
      <c r="B21" s="10"/>
      <c r="C21" s="10" t="s">
        <v>11</v>
      </c>
      <c r="D21" s="9" t="s">
        <v>144</v>
      </c>
      <c r="E21" s="9" t="s">
        <v>145</v>
      </c>
      <c r="F21" s="11" t="s">
        <v>14</v>
      </c>
    </row>
    <row r="22" customFormat="false" ht="30" hidden="false" customHeight="true" outlineLevel="0" collapsed="false">
      <c r="A22" s="12" t="s">
        <v>156</v>
      </c>
      <c r="B22" s="13"/>
      <c r="C22" s="13" t="s">
        <v>11</v>
      </c>
      <c r="D22" s="13" t="s">
        <v>158</v>
      </c>
      <c r="E22" s="12" t="s">
        <v>159</v>
      </c>
      <c r="F22" s="11" t="s">
        <v>14</v>
      </c>
    </row>
    <row r="23" customFormat="false" ht="30" hidden="false" customHeight="true" outlineLevel="0" collapsed="false">
      <c r="A23" s="9" t="s">
        <v>166</v>
      </c>
      <c r="B23" s="10"/>
      <c r="C23" s="10" t="s">
        <v>49</v>
      </c>
      <c r="D23" s="10" t="s">
        <v>167</v>
      </c>
      <c r="E23" s="10"/>
      <c r="F23" s="11" t="s">
        <v>14</v>
      </c>
    </row>
    <row r="24" customFormat="false" ht="30" hidden="false" customHeight="true" outlineLevel="0" collapsed="false">
      <c r="A24" s="12" t="s">
        <v>168</v>
      </c>
      <c r="B24" s="13"/>
      <c r="C24" s="13" t="s">
        <v>121</v>
      </c>
      <c r="D24" s="13" t="s">
        <v>169</v>
      </c>
      <c r="E24" s="13"/>
      <c r="F24" s="11" t="s">
        <v>14</v>
      </c>
    </row>
  </sheetData>
  <autoFilter ref="A1:F24"/>
  <dataValidations count="1">
    <dataValidation allowBlank="true" errorStyle="stop" operator="between" showDropDown="false" showErrorMessage="false" showInputMessage="false" sqref="F2:F24" type="list">
      <formula1>"대기,진행,완료,보류"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5" min="5" style="0" width="54"/>
    <col collapsed="false" customWidth="true" hidden="false" outlineLevel="0" max="6" min="6" style="0" width="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30" hidden="false" customHeight="true" outlineLevel="0" collapsed="false">
      <c r="A2" s="3" t="s">
        <v>8</v>
      </c>
      <c r="B2" s="4" t="s">
        <v>9</v>
      </c>
      <c r="C2" s="4" t="s">
        <v>23</v>
      </c>
      <c r="D2" s="4" t="s">
        <v>28</v>
      </c>
      <c r="E2" s="4" t="s">
        <v>29</v>
      </c>
      <c r="F2" s="6" t="s">
        <v>14</v>
      </c>
    </row>
    <row r="3" customFormat="false" ht="30" hidden="false" customHeight="true" outlineLevel="0" collapsed="false">
      <c r="A3" s="3" t="s">
        <v>30</v>
      </c>
      <c r="B3" s="4" t="s">
        <v>31</v>
      </c>
      <c r="C3" s="4" t="s">
        <v>11</v>
      </c>
      <c r="D3" s="4" t="s">
        <v>37</v>
      </c>
      <c r="E3" s="5" t="s">
        <v>38</v>
      </c>
      <c r="F3" s="6" t="s">
        <v>14</v>
      </c>
    </row>
    <row r="4" customFormat="false" ht="30" hidden="false" customHeight="true" outlineLevel="0" collapsed="false">
      <c r="A4" s="3" t="s">
        <v>52</v>
      </c>
      <c r="B4" s="4" t="s">
        <v>53</v>
      </c>
      <c r="C4" s="4" t="s">
        <v>11</v>
      </c>
      <c r="D4" s="5" t="s">
        <v>56</v>
      </c>
      <c r="E4" s="4" t="s">
        <v>57</v>
      </c>
      <c r="F4" s="6" t="s">
        <v>14</v>
      </c>
    </row>
    <row r="5" customFormat="false" ht="30" hidden="false" customHeight="true" outlineLevel="0" collapsed="false">
      <c r="A5" s="9" t="s">
        <v>58</v>
      </c>
      <c r="B5" s="10" t="s">
        <v>59</v>
      </c>
      <c r="C5" s="10" t="s">
        <v>11</v>
      </c>
      <c r="D5" s="9" t="s">
        <v>63</v>
      </c>
      <c r="E5" s="10"/>
      <c r="F5" s="11" t="s">
        <v>14</v>
      </c>
    </row>
    <row r="6" customFormat="false" ht="30" hidden="false" customHeight="true" outlineLevel="0" collapsed="false">
      <c r="A6" s="12" t="s">
        <v>58</v>
      </c>
      <c r="B6" s="13" t="s">
        <v>59</v>
      </c>
      <c r="C6" s="13" t="s">
        <v>11</v>
      </c>
      <c r="D6" s="13" t="s">
        <v>64</v>
      </c>
      <c r="E6" s="12" t="s">
        <v>65</v>
      </c>
      <c r="F6" s="11" t="s">
        <v>14</v>
      </c>
    </row>
    <row r="7" customFormat="false" ht="30" hidden="false" customHeight="true" outlineLevel="0" collapsed="false">
      <c r="A7" s="9" t="s">
        <v>66</v>
      </c>
      <c r="B7" s="10" t="s">
        <v>67</v>
      </c>
      <c r="C7" s="10" t="s">
        <v>11</v>
      </c>
      <c r="D7" s="10" t="s">
        <v>77</v>
      </c>
      <c r="E7" s="10" t="s">
        <v>78</v>
      </c>
      <c r="F7" s="11" t="s">
        <v>14</v>
      </c>
    </row>
    <row r="8" customFormat="false" ht="30" hidden="false" customHeight="true" outlineLevel="0" collapsed="false">
      <c r="A8" s="12" t="s">
        <v>92</v>
      </c>
      <c r="B8" s="13" t="s">
        <v>9</v>
      </c>
      <c r="C8" s="13" t="s">
        <v>11</v>
      </c>
      <c r="D8" s="13" t="s">
        <v>97</v>
      </c>
      <c r="E8" s="13"/>
      <c r="F8" s="11" t="s">
        <v>14</v>
      </c>
    </row>
    <row r="9" customFormat="false" ht="30" hidden="false" customHeight="true" outlineLevel="0" collapsed="false">
      <c r="A9" s="9" t="s">
        <v>101</v>
      </c>
      <c r="B9" s="10" t="s">
        <v>40</v>
      </c>
      <c r="C9" s="10" t="s">
        <v>11</v>
      </c>
      <c r="D9" s="10" t="s">
        <v>104</v>
      </c>
      <c r="E9" s="10" t="s">
        <v>105</v>
      </c>
      <c r="F9" s="11" t="s">
        <v>14</v>
      </c>
    </row>
    <row r="10" customFormat="false" ht="30" hidden="false" customHeight="true" outlineLevel="0" collapsed="false">
      <c r="A10" s="12" t="s">
        <v>101</v>
      </c>
      <c r="B10" s="13" t="s">
        <v>40</v>
      </c>
      <c r="C10" s="13" t="s">
        <v>11</v>
      </c>
      <c r="D10" s="13" t="s">
        <v>106</v>
      </c>
      <c r="E10" s="13" t="s">
        <v>107</v>
      </c>
      <c r="F10" s="11" t="s">
        <v>14</v>
      </c>
    </row>
    <row r="11" customFormat="false" ht="30" hidden="false" customHeight="true" outlineLevel="0" collapsed="false">
      <c r="A11" s="9" t="s">
        <v>109</v>
      </c>
      <c r="B11" s="10" t="s">
        <v>53</v>
      </c>
      <c r="C11" s="10" t="s">
        <v>49</v>
      </c>
      <c r="D11" s="10" t="s">
        <v>110</v>
      </c>
      <c r="E11" s="10" t="s">
        <v>111</v>
      </c>
      <c r="F11" s="11" t="s">
        <v>14</v>
      </c>
    </row>
    <row r="12" customFormat="false" ht="30" hidden="false" customHeight="true" outlineLevel="0" collapsed="false">
      <c r="A12" s="12" t="s">
        <v>112</v>
      </c>
      <c r="B12" s="13" t="s">
        <v>59</v>
      </c>
      <c r="C12" s="13" t="s">
        <v>49</v>
      </c>
      <c r="D12" s="12" t="s">
        <v>113</v>
      </c>
      <c r="E12" s="13" t="s">
        <v>114</v>
      </c>
      <c r="F12" s="11" t="s">
        <v>14</v>
      </c>
    </row>
    <row r="13" customFormat="false" ht="30" hidden="false" customHeight="true" outlineLevel="0" collapsed="false">
      <c r="A13" s="9" t="s">
        <v>112</v>
      </c>
      <c r="B13" s="10" t="s">
        <v>59</v>
      </c>
      <c r="C13" s="10" t="s">
        <v>49</v>
      </c>
      <c r="D13" s="9" t="s">
        <v>115</v>
      </c>
      <c r="E13" s="10" t="s">
        <v>116</v>
      </c>
      <c r="F13" s="11" t="s">
        <v>14</v>
      </c>
    </row>
    <row r="14" customFormat="false" ht="30" hidden="false" customHeight="true" outlineLevel="0" collapsed="false">
      <c r="A14" s="12" t="s">
        <v>112</v>
      </c>
      <c r="B14" s="13" t="s">
        <v>59</v>
      </c>
      <c r="C14" s="13" t="s">
        <v>11</v>
      </c>
      <c r="D14" s="13" t="s">
        <v>118</v>
      </c>
      <c r="E14" s="13" t="s">
        <v>119</v>
      </c>
      <c r="F14" s="11" t="s">
        <v>14</v>
      </c>
    </row>
    <row r="15" customFormat="false" ht="30" hidden="false" customHeight="true" outlineLevel="0" collapsed="false">
      <c r="A15" s="9" t="s">
        <v>120</v>
      </c>
      <c r="B15" s="10" t="s">
        <v>67</v>
      </c>
      <c r="C15" s="10" t="s">
        <v>121</v>
      </c>
      <c r="D15" s="10" t="s">
        <v>122</v>
      </c>
      <c r="E15" s="9" t="s">
        <v>123</v>
      </c>
      <c r="F15" s="11" t="s">
        <v>14</v>
      </c>
    </row>
    <row r="16" customFormat="false" ht="30" hidden="false" customHeight="true" outlineLevel="0" collapsed="false">
      <c r="A16" s="12" t="s">
        <v>124</v>
      </c>
      <c r="B16" s="13" t="s">
        <v>9</v>
      </c>
      <c r="C16" s="13" t="s">
        <v>11</v>
      </c>
      <c r="D16" s="13" t="s">
        <v>125</v>
      </c>
      <c r="E16" s="13"/>
      <c r="F16" s="11" t="s">
        <v>14</v>
      </c>
    </row>
    <row r="17" customFormat="false" ht="30" hidden="false" customHeight="true" outlineLevel="0" collapsed="false">
      <c r="A17" s="9" t="s">
        <v>126</v>
      </c>
      <c r="B17" s="10" t="s">
        <v>31</v>
      </c>
      <c r="C17" s="10" t="s">
        <v>49</v>
      </c>
      <c r="D17" s="10" t="s">
        <v>127</v>
      </c>
      <c r="E17" s="10" t="s">
        <v>128</v>
      </c>
      <c r="F17" s="11" t="s">
        <v>14</v>
      </c>
    </row>
    <row r="18" customFormat="false" ht="30" hidden="false" customHeight="true" outlineLevel="0" collapsed="false">
      <c r="A18" s="12" t="s">
        <v>129</v>
      </c>
      <c r="B18" s="13" t="s">
        <v>40</v>
      </c>
      <c r="C18" s="13" t="s">
        <v>121</v>
      </c>
      <c r="D18" s="12" t="s">
        <v>130</v>
      </c>
      <c r="E18" s="13"/>
      <c r="F18" s="11" t="s">
        <v>14</v>
      </c>
    </row>
    <row r="19" customFormat="false" ht="30" hidden="false" customHeight="true" outlineLevel="0" collapsed="false">
      <c r="A19" s="9" t="s">
        <v>131</v>
      </c>
      <c r="B19" s="10"/>
      <c r="C19" s="10" t="s">
        <v>23</v>
      </c>
      <c r="D19" s="10" t="s">
        <v>132</v>
      </c>
      <c r="E19" s="10" t="s">
        <v>133</v>
      </c>
      <c r="F19" s="11" t="s">
        <v>14</v>
      </c>
    </row>
    <row r="20" customFormat="false" ht="30" hidden="false" customHeight="true" outlineLevel="0" collapsed="false">
      <c r="A20" s="12" t="s">
        <v>134</v>
      </c>
      <c r="B20" s="13"/>
      <c r="C20" s="13" t="s">
        <v>11</v>
      </c>
      <c r="D20" s="13" t="s">
        <v>137</v>
      </c>
      <c r="E20" s="13"/>
      <c r="F20" s="11" t="s">
        <v>14</v>
      </c>
    </row>
    <row r="21" customFormat="false" ht="30" hidden="false" customHeight="true" outlineLevel="0" collapsed="false">
      <c r="A21" s="9" t="s">
        <v>152</v>
      </c>
      <c r="B21" s="10"/>
      <c r="C21" s="10" t="s">
        <v>11</v>
      </c>
      <c r="D21" s="10" t="s">
        <v>153</v>
      </c>
      <c r="E21" s="10" t="s">
        <v>154</v>
      </c>
      <c r="F21" s="11" t="s">
        <v>14</v>
      </c>
    </row>
    <row r="22" customFormat="false" ht="30" hidden="false" customHeight="true" outlineLevel="0" collapsed="false">
      <c r="A22" s="12" t="s">
        <v>152</v>
      </c>
      <c r="B22" s="13"/>
      <c r="C22" s="13" t="s">
        <v>11</v>
      </c>
      <c r="D22" s="13" t="s">
        <v>155</v>
      </c>
      <c r="E22" s="13"/>
      <c r="F22" s="11" t="s">
        <v>14</v>
      </c>
    </row>
    <row r="23" customFormat="false" ht="30" hidden="false" customHeight="true" outlineLevel="0" collapsed="false">
      <c r="A23" s="9" t="s">
        <v>156</v>
      </c>
      <c r="B23" s="10"/>
      <c r="C23" s="10" t="s">
        <v>11</v>
      </c>
      <c r="D23" s="10" t="s">
        <v>161</v>
      </c>
      <c r="E23" s="10" t="s">
        <v>162</v>
      </c>
      <c r="F23" s="11" t="s">
        <v>14</v>
      </c>
    </row>
    <row r="24" customFormat="false" ht="30" hidden="false" customHeight="true" outlineLevel="0" collapsed="false">
      <c r="A24" s="12" t="s">
        <v>156</v>
      </c>
      <c r="B24" s="13"/>
      <c r="C24" s="13" t="s">
        <v>11</v>
      </c>
      <c r="D24" s="13" t="s">
        <v>163</v>
      </c>
      <c r="E24" s="13"/>
      <c r="F24" s="11" t="s">
        <v>14</v>
      </c>
    </row>
    <row r="25" customFormat="false" ht="30" hidden="false" customHeight="true" outlineLevel="0" collapsed="false">
      <c r="A25" s="9" t="s">
        <v>156</v>
      </c>
      <c r="B25" s="10"/>
      <c r="C25" s="10" t="s">
        <v>11</v>
      </c>
      <c r="D25" s="10" t="s">
        <v>164</v>
      </c>
      <c r="E25" s="10" t="s">
        <v>165</v>
      </c>
      <c r="F25" s="11" t="s">
        <v>14</v>
      </c>
    </row>
    <row r="26" customFormat="false" ht="30" hidden="false" customHeight="true" outlineLevel="0" collapsed="false">
      <c r="A26" s="12" t="s">
        <v>166</v>
      </c>
      <c r="B26" s="13"/>
      <c r="C26" s="13" t="s">
        <v>49</v>
      </c>
      <c r="D26" s="13" t="s">
        <v>167</v>
      </c>
      <c r="E26" s="13"/>
      <c r="F26" s="11" t="s">
        <v>14</v>
      </c>
    </row>
    <row r="27" customFormat="false" ht="30" hidden="false" customHeight="true" outlineLevel="0" collapsed="false">
      <c r="A27" s="9" t="s">
        <v>168</v>
      </c>
      <c r="B27" s="10"/>
      <c r="C27" s="10" t="s">
        <v>121</v>
      </c>
      <c r="D27" s="10" t="s">
        <v>169</v>
      </c>
      <c r="E27" s="10"/>
      <c r="F27" s="11" t="s">
        <v>14</v>
      </c>
    </row>
  </sheetData>
  <autoFilter ref="A1:F27"/>
  <dataValidations count="1">
    <dataValidation allowBlank="true" errorStyle="stop" operator="between" showDropDown="false" showErrorMessage="false" showInputMessage="false" sqref="F2:F27" type="list">
      <formula1>"대기,진행,완료,보류"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7"/>
    <col collapsed="false" customWidth="true" hidden="false" outlineLevel="0" max="4" min="4" style="0" width="60"/>
    <col collapsed="false" customWidth="true" hidden="false" outlineLevel="0" max="5" min="5" style="0" width="54"/>
    <col collapsed="false" customWidth="true" hidden="false" outlineLevel="0" max="6" min="6" style="0" width="8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customFormat="false" ht="30" hidden="false" customHeight="true" outlineLevel="0" collapsed="false">
      <c r="A2" s="3" t="s">
        <v>8</v>
      </c>
      <c r="B2" s="4" t="s">
        <v>9</v>
      </c>
      <c r="C2" s="4" t="s">
        <v>11</v>
      </c>
      <c r="D2" s="5" t="s">
        <v>12</v>
      </c>
      <c r="E2" s="4" t="s">
        <v>13</v>
      </c>
      <c r="F2" s="6" t="s">
        <v>14</v>
      </c>
    </row>
    <row r="3" customFormat="false" ht="30" hidden="false" customHeight="true" outlineLevel="0" collapsed="false">
      <c r="A3" s="3" t="s">
        <v>8</v>
      </c>
      <c r="B3" s="4" t="s">
        <v>9</v>
      </c>
      <c r="C3" s="4" t="s">
        <v>11</v>
      </c>
      <c r="D3" s="4" t="s">
        <v>16</v>
      </c>
      <c r="E3" s="4" t="s">
        <v>17</v>
      </c>
      <c r="F3" s="6" t="s">
        <v>14</v>
      </c>
    </row>
    <row r="4" customFormat="false" ht="30" hidden="false" customHeight="true" outlineLevel="0" collapsed="false">
      <c r="A4" s="3" t="s">
        <v>8</v>
      </c>
      <c r="B4" s="4" t="s">
        <v>9</v>
      </c>
      <c r="C4" s="4" t="s">
        <v>11</v>
      </c>
      <c r="D4" s="5" t="s">
        <v>19</v>
      </c>
      <c r="E4" s="4" t="s">
        <v>20</v>
      </c>
      <c r="F4" s="6" t="s">
        <v>14</v>
      </c>
    </row>
    <row r="5" customFormat="false" ht="30" hidden="false" customHeight="true" outlineLevel="0" collapsed="false">
      <c r="A5" s="3" t="s">
        <v>8</v>
      </c>
      <c r="B5" s="4" t="s">
        <v>9</v>
      </c>
      <c r="C5" s="4" t="s">
        <v>23</v>
      </c>
      <c r="D5" s="4" t="s">
        <v>28</v>
      </c>
      <c r="E5" s="4" t="s">
        <v>29</v>
      </c>
      <c r="F5" s="6" t="s">
        <v>14</v>
      </c>
    </row>
    <row r="6" customFormat="false" ht="30" hidden="false" customHeight="true" outlineLevel="0" collapsed="false">
      <c r="A6" s="3" t="s">
        <v>39</v>
      </c>
      <c r="B6" s="4" t="s">
        <v>40</v>
      </c>
      <c r="C6" s="4" t="s">
        <v>11</v>
      </c>
      <c r="D6" s="5" t="s">
        <v>41</v>
      </c>
      <c r="E6" s="4" t="s">
        <v>42</v>
      </c>
      <c r="F6" s="6" t="s">
        <v>14</v>
      </c>
    </row>
    <row r="7" customFormat="false" ht="30" hidden="false" customHeight="true" outlineLevel="0" collapsed="false">
      <c r="A7" s="3" t="s">
        <v>39</v>
      </c>
      <c r="B7" s="4" t="s">
        <v>40</v>
      </c>
      <c r="C7" s="4" t="s">
        <v>11</v>
      </c>
      <c r="D7" s="4" t="s">
        <v>43</v>
      </c>
      <c r="E7" s="5" t="s">
        <v>44</v>
      </c>
      <c r="F7" s="6" t="s">
        <v>14</v>
      </c>
    </row>
    <row r="8" customFormat="false" ht="30" hidden="false" customHeight="true" outlineLevel="0" collapsed="false">
      <c r="A8" s="12" t="s">
        <v>58</v>
      </c>
      <c r="B8" s="13" t="s">
        <v>59</v>
      </c>
      <c r="C8" s="13" t="s">
        <v>49</v>
      </c>
      <c r="D8" s="13" t="s">
        <v>61</v>
      </c>
      <c r="E8" s="13" t="s">
        <v>62</v>
      </c>
      <c r="F8" s="11" t="s">
        <v>14</v>
      </c>
    </row>
    <row r="9" customFormat="false" ht="30" hidden="false" customHeight="true" outlineLevel="0" collapsed="false">
      <c r="A9" s="9" t="s">
        <v>66</v>
      </c>
      <c r="B9" s="10" t="s">
        <v>67</v>
      </c>
      <c r="C9" s="10" t="s">
        <v>49</v>
      </c>
      <c r="D9" s="9" t="s">
        <v>75</v>
      </c>
      <c r="E9" s="10" t="s">
        <v>76</v>
      </c>
      <c r="F9" s="11" t="s">
        <v>14</v>
      </c>
    </row>
    <row r="10" customFormat="false" ht="30" hidden="false" customHeight="true" outlineLevel="0" collapsed="false">
      <c r="A10" s="12" t="s">
        <v>79</v>
      </c>
      <c r="B10" s="13" t="s">
        <v>80</v>
      </c>
      <c r="C10" s="13" t="s">
        <v>49</v>
      </c>
      <c r="D10" s="12" t="s">
        <v>88</v>
      </c>
      <c r="E10" s="13" t="s">
        <v>89</v>
      </c>
      <c r="F10" s="11" t="s">
        <v>14</v>
      </c>
    </row>
    <row r="11" customFormat="false" ht="30" hidden="false" customHeight="true" outlineLevel="0" collapsed="false">
      <c r="A11" s="9" t="s">
        <v>79</v>
      </c>
      <c r="B11" s="10" t="s">
        <v>80</v>
      </c>
      <c r="C11" s="10" t="s">
        <v>11</v>
      </c>
      <c r="D11" s="9" t="s">
        <v>90</v>
      </c>
      <c r="E11" s="10" t="s">
        <v>91</v>
      </c>
      <c r="F11" s="11" t="s">
        <v>14</v>
      </c>
    </row>
    <row r="12" customFormat="false" ht="30" hidden="false" customHeight="true" outlineLevel="0" collapsed="false">
      <c r="A12" s="12" t="s">
        <v>92</v>
      </c>
      <c r="B12" s="13" t="s">
        <v>9</v>
      </c>
      <c r="C12" s="13" t="s">
        <v>11</v>
      </c>
      <c r="D12" s="13" t="s">
        <v>93</v>
      </c>
      <c r="E12" s="13" t="s">
        <v>94</v>
      </c>
      <c r="F12" s="11" t="s">
        <v>14</v>
      </c>
    </row>
    <row r="13" customFormat="false" ht="30" hidden="false" customHeight="true" outlineLevel="0" collapsed="false">
      <c r="A13" s="9" t="s">
        <v>92</v>
      </c>
      <c r="B13" s="10" t="s">
        <v>9</v>
      </c>
      <c r="C13" s="10" t="s">
        <v>11</v>
      </c>
      <c r="D13" s="9" t="s">
        <v>95</v>
      </c>
      <c r="E13" s="10" t="s">
        <v>96</v>
      </c>
      <c r="F13" s="11" t="s">
        <v>14</v>
      </c>
    </row>
    <row r="14" customFormat="false" ht="30" hidden="false" customHeight="true" outlineLevel="0" collapsed="false">
      <c r="A14" s="12" t="s">
        <v>101</v>
      </c>
      <c r="B14" s="13" t="s">
        <v>40</v>
      </c>
      <c r="C14" s="13" t="s">
        <v>11</v>
      </c>
      <c r="D14" s="13" t="s">
        <v>108</v>
      </c>
      <c r="E14" s="13"/>
      <c r="F14" s="11" t="s">
        <v>14</v>
      </c>
    </row>
    <row r="15" customFormat="false" ht="30" hidden="false" customHeight="true" outlineLevel="0" collapsed="false">
      <c r="A15" s="9" t="s">
        <v>109</v>
      </c>
      <c r="B15" s="10" t="s">
        <v>53</v>
      </c>
      <c r="C15" s="10" t="s">
        <v>49</v>
      </c>
      <c r="D15" s="10" t="s">
        <v>110</v>
      </c>
      <c r="E15" s="10" t="s">
        <v>111</v>
      </c>
      <c r="F15" s="11" t="s">
        <v>14</v>
      </c>
    </row>
    <row r="16" customFormat="false" ht="30" hidden="false" customHeight="true" outlineLevel="0" collapsed="false">
      <c r="A16" s="12" t="s">
        <v>112</v>
      </c>
      <c r="B16" s="13" t="s">
        <v>59</v>
      </c>
      <c r="C16" s="13" t="s">
        <v>49</v>
      </c>
      <c r="D16" s="12" t="s">
        <v>113</v>
      </c>
      <c r="E16" s="13" t="s">
        <v>114</v>
      </c>
      <c r="F16" s="11" t="s">
        <v>14</v>
      </c>
    </row>
    <row r="17" customFormat="false" ht="30" hidden="false" customHeight="true" outlineLevel="0" collapsed="false">
      <c r="A17" s="9" t="s">
        <v>112</v>
      </c>
      <c r="B17" s="10" t="s">
        <v>59</v>
      </c>
      <c r="C17" s="10" t="s">
        <v>49</v>
      </c>
      <c r="D17" s="9" t="s">
        <v>115</v>
      </c>
      <c r="E17" s="10" t="s">
        <v>116</v>
      </c>
      <c r="F17" s="11" t="s">
        <v>14</v>
      </c>
    </row>
    <row r="18" customFormat="false" ht="30" hidden="false" customHeight="true" outlineLevel="0" collapsed="false">
      <c r="A18" s="12" t="s">
        <v>112</v>
      </c>
      <c r="B18" s="13" t="s">
        <v>59</v>
      </c>
      <c r="C18" s="13" t="s">
        <v>11</v>
      </c>
      <c r="D18" s="13" t="s">
        <v>117</v>
      </c>
      <c r="E18" s="13"/>
      <c r="F18" s="11" t="s">
        <v>14</v>
      </c>
    </row>
    <row r="19" customFormat="false" ht="30" hidden="false" customHeight="true" outlineLevel="0" collapsed="false">
      <c r="A19" s="9" t="s">
        <v>120</v>
      </c>
      <c r="B19" s="10" t="s">
        <v>67</v>
      </c>
      <c r="C19" s="10" t="s">
        <v>121</v>
      </c>
      <c r="D19" s="10" t="s">
        <v>122</v>
      </c>
      <c r="E19" s="9" t="s">
        <v>123</v>
      </c>
      <c r="F19" s="11" t="s">
        <v>14</v>
      </c>
    </row>
    <row r="20" customFormat="false" ht="30" hidden="false" customHeight="true" outlineLevel="0" collapsed="false">
      <c r="A20" s="12" t="s">
        <v>126</v>
      </c>
      <c r="B20" s="13" t="s">
        <v>31</v>
      </c>
      <c r="C20" s="13" t="s">
        <v>49</v>
      </c>
      <c r="D20" s="13" t="s">
        <v>127</v>
      </c>
      <c r="E20" s="13" t="s">
        <v>128</v>
      </c>
      <c r="F20" s="11" t="s">
        <v>14</v>
      </c>
    </row>
    <row r="21" customFormat="false" ht="30" hidden="false" customHeight="true" outlineLevel="0" collapsed="false">
      <c r="A21" s="9" t="s">
        <v>129</v>
      </c>
      <c r="B21" s="10" t="s">
        <v>40</v>
      </c>
      <c r="C21" s="10" t="s">
        <v>121</v>
      </c>
      <c r="D21" s="9" t="s">
        <v>130</v>
      </c>
      <c r="E21" s="10"/>
      <c r="F21" s="11" t="s">
        <v>14</v>
      </c>
    </row>
    <row r="22" customFormat="false" ht="30" hidden="false" customHeight="true" outlineLevel="0" collapsed="false">
      <c r="A22" s="12" t="s">
        <v>131</v>
      </c>
      <c r="B22" s="13"/>
      <c r="C22" s="13" t="s">
        <v>23</v>
      </c>
      <c r="D22" s="13" t="s">
        <v>132</v>
      </c>
      <c r="E22" s="13" t="s">
        <v>133</v>
      </c>
      <c r="F22" s="11" t="s">
        <v>14</v>
      </c>
    </row>
    <row r="23" customFormat="false" ht="30" hidden="false" customHeight="true" outlineLevel="0" collapsed="false">
      <c r="A23" s="9" t="s">
        <v>134</v>
      </c>
      <c r="B23" s="10"/>
      <c r="C23" s="10" t="s">
        <v>11</v>
      </c>
      <c r="D23" s="9" t="s">
        <v>135</v>
      </c>
      <c r="E23" s="10" t="s">
        <v>136</v>
      </c>
      <c r="F23" s="11" t="s">
        <v>14</v>
      </c>
    </row>
    <row r="24" customFormat="false" ht="30" hidden="false" customHeight="true" outlineLevel="0" collapsed="false">
      <c r="A24" s="12" t="s">
        <v>134</v>
      </c>
      <c r="B24" s="13"/>
      <c r="C24" s="13" t="s">
        <v>146</v>
      </c>
      <c r="D24" s="13" t="s">
        <v>147</v>
      </c>
      <c r="E24" s="12" t="s">
        <v>148</v>
      </c>
      <c r="F24" s="11" t="s">
        <v>14</v>
      </c>
    </row>
    <row r="25" customFormat="false" ht="30" hidden="false" customHeight="true" outlineLevel="0" collapsed="false">
      <c r="A25" s="10" t="s">
        <v>149</v>
      </c>
      <c r="B25" s="10"/>
      <c r="C25" s="10" t="s">
        <v>49</v>
      </c>
      <c r="D25" s="10" t="s">
        <v>150</v>
      </c>
      <c r="E25" s="9" t="s">
        <v>151</v>
      </c>
      <c r="F25" s="11" t="s">
        <v>14</v>
      </c>
    </row>
    <row r="26" customFormat="false" ht="30" hidden="false" customHeight="true" outlineLevel="0" collapsed="false">
      <c r="A26" s="12" t="s">
        <v>166</v>
      </c>
      <c r="B26" s="13"/>
      <c r="C26" s="13" t="s">
        <v>49</v>
      </c>
      <c r="D26" s="13" t="s">
        <v>167</v>
      </c>
      <c r="E26" s="13"/>
      <c r="F26" s="11" t="s">
        <v>14</v>
      </c>
    </row>
    <row r="27" customFormat="false" ht="30" hidden="false" customHeight="true" outlineLevel="0" collapsed="false">
      <c r="A27" s="9" t="s">
        <v>168</v>
      </c>
      <c r="B27" s="10"/>
      <c r="C27" s="10" t="s">
        <v>121</v>
      </c>
      <c r="D27" s="10" t="s">
        <v>169</v>
      </c>
      <c r="E27" s="10"/>
      <c r="F27" s="11" t="s">
        <v>14</v>
      </c>
    </row>
  </sheetData>
  <autoFilter ref="A1:F27"/>
  <dataValidations count="1">
    <dataValidation allowBlank="true" errorStyle="stop" operator="between" showDropDown="false" showErrorMessage="false" showInputMessage="false" sqref="F2:F27" type="list">
      <formula1>"대기,진행,완료,보류"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54"/>
    <col collapsed="false" customWidth="true" hidden="false" outlineLevel="0" max="5" min="5" style="0" width="38"/>
  </cols>
  <sheetData>
    <row r="1" customFormat="false" ht="25.5" hidden="false" customHeight="true" outlineLevel="0" collapsed="false">
      <c r="A1" s="1" t="s">
        <v>170</v>
      </c>
      <c r="B1" s="1" t="s">
        <v>171</v>
      </c>
      <c r="C1" s="1" t="s">
        <v>172</v>
      </c>
      <c r="D1" s="1" t="s">
        <v>173</v>
      </c>
      <c r="E1" s="1" t="s">
        <v>174</v>
      </c>
    </row>
    <row r="2" customFormat="false" ht="43.5" hidden="false" customHeight="true" outlineLevel="0" collapsed="false">
      <c r="A2" s="14" t="s">
        <v>175</v>
      </c>
      <c r="B2" s="15" t="s">
        <v>176</v>
      </c>
      <c r="C2" s="16" t="s">
        <v>177</v>
      </c>
      <c r="D2" s="17" t="s">
        <v>178</v>
      </c>
      <c r="E2" s="15" t="s">
        <v>179</v>
      </c>
    </row>
    <row r="3" customFormat="false" ht="43.5" hidden="false" customHeight="true" outlineLevel="0" collapsed="false">
      <c r="A3" s="18" t="s">
        <v>180</v>
      </c>
      <c r="B3" s="19" t="s">
        <v>181</v>
      </c>
      <c r="C3" s="20" t="s">
        <v>182</v>
      </c>
      <c r="D3" s="19" t="s">
        <v>183</v>
      </c>
      <c r="E3" s="19" t="s">
        <v>184</v>
      </c>
    </row>
    <row r="4" customFormat="false" ht="43.5" hidden="false" customHeight="true" outlineLevel="0" collapsed="false">
      <c r="A4" s="14" t="s">
        <v>185</v>
      </c>
      <c r="B4" s="17" t="s">
        <v>186</v>
      </c>
      <c r="C4" s="16" t="s">
        <v>187</v>
      </c>
      <c r="D4" s="17" t="s">
        <v>188</v>
      </c>
      <c r="E4" s="17" t="s">
        <v>189</v>
      </c>
    </row>
    <row r="5" customFormat="false" ht="43.5" hidden="false" customHeight="true" outlineLevel="0" collapsed="false">
      <c r="A5" s="18" t="s">
        <v>190</v>
      </c>
      <c r="B5" s="21" t="s">
        <v>191</v>
      </c>
      <c r="C5" s="22" t="s">
        <v>192</v>
      </c>
      <c r="D5" s="19" t="s">
        <v>193</v>
      </c>
      <c r="E5" s="21" t="s">
        <v>194</v>
      </c>
    </row>
    <row r="6" customFormat="false" ht="43.5" hidden="false" customHeight="true" outlineLevel="0" collapsed="false">
      <c r="A6" s="14" t="s">
        <v>195</v>
      </c>
      <c r="B6" s="15" t="s">
        <v>196</v>
      </c>
      <c r="C6" s="16" t="s">
        <v>197</v>
      </c>
      <c r="D6" s="15" t="s">
        <v>198</v>
      </c>
      <c r="E6" s="17" t="s">
        <v>199</v>
      </c>
    </row>
    <row r="7" customFormat="false" ht="43.5" hidden="false" customHeight="true" outlineLevel="0" collapsed="false">
      <c r="A7" s="18" t="s">
        <v>200</v>
      </c>
      <c r="B7" s="19" t="s">
        <v>201</v>
      </c>
      <c r="C7" s="22" t="s">
        <v>202</v>
      </c>
      <c r="D7" s="21" t="s">
        <v>203</v>
      </c>
      <c r="E7" s="19" t="s">
        <v>184</v>
      </c>
    </row>
    <row r="8" customFormat="false" ht="43.5" hidden="false" customHeight="true" outlineLevel="0" collapsed="false">
      <c r="A8" s="14" t="s">
        <v>204</v>
      </c>
      <c r="B8" s="15" t="s">
        <v>205</v>
      </c>
      <c r="C8" s="16" t="s">
        <v>206</v>
      </c>
      <c r="D8" s="15" t="s">
        <v>207</v>
      </c>
      <c r="E8" s="17" t="s">
        <v>208</v>
      </c>
    </row>
    <row r="9" customFormat="false" ht="43.5" hidden="false" customHeight="true" outlineLevel="0" collapsed="false">
      <c r="A9" s="18" t="s">
        <v>209</v>
      </c>
      <c r="B9" s="21" t="s">
        <v>210</v>
      </c>
      <c r="C9" s="22" t="s">
        <v>211</v>
      </c>
      <c r="D9" s="19" t="s">
        <v>212</v>
      </c>
      <c r="E9" s="19" t="s">
        <v>213</v>
      </c>
    </row>
    <row r="10" customFormat="false" ht="43.5" hidden="false" customHeight="true" outlineLevel="0" collapsed="false">
      <c r="A10" s="14" t="s">
        <v>214</v>
      </c>
      <c r="B10" s="17" t="s">
        <v>215</v>
      </c>
      <c r="C10" s="16" t="s">
        <v>216</v>
      </c>
      <c r="D10" s="17" t="s">
        <v>217</v>
      </c>
      <c r="E10" s="15" t="s">
        <v>218</v>
      </c>
    </row>
    <row r="11" customFormat="false" ht="43.5" hidden="false" customHeight="true" outlineLevel="0" collapsed="false">
      <c r="A11" s="18" t="s">
        <v>219</v>
      </c>
      <c r="B11" s="19" t="s">
        <v>220</v>
      </c>
      <c r="C11" s="20" t="s">
        <v>221</v>
      </c>
      <c r="D11" s="21" t="s">
        <v>222</v>
      </c>
      <c r="E11" s="21" t="s">
        <v>223</v>
      </c>
    </row>
    <row r="12" customFormat="false" ht="43.5" hidden="false" customHeight="true" outlineLevel="0" collapsed="false">
      <c r="A12" s="14" t="s">
        <v>224</v>
      </c>
      <c r="B12" s="15" t="s">
        <v>225</v>
      </c>
      <c r="C12" s="16" t="s">
        <v>226</v>
      </c>
      <c r="D12" s="15" t="s">
        <v>227</v>
      </c>
      <c r="E12" s="17" t="s">
        <v>228</v>
      </c>
    </row>
    <row r="13" customFormat="false" ht="43.5" hidden="false" customHeight="true" outlineLevel="0" collapsed="false">
      <c r="A13" s="18" t="s">
        <v>229</v>
      </c>
      <c r="B13" s="19" t="s">
        <v>230</v>
      </c>
      <c r="C13" s="20" t="s">
        <v>231</v>
      </c>
      <c r="D13" s="19" t="s">
        <v>232</v>
      </c>
      <c r="E13" s="21" t="s">
        <v>233</v>
      </c>
    </row>
    <row r="15" customFormat="false" ht="15" hidden="false" customHeight="false" outlineLevel="0" collapsed="false">
      <c r="A15" s="23" t="s">
        <v>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54"/>
  </cols>
  <sheetData>
    <row r="1" customFormat="false" ht="19.4" hidden="false" customHeight="false" outlineLevel="0" collapsed="false">
      <c r="A1" s="24" t="s">
        <v>235</v>
      </c>
    </row>
    <row r="2" customFormat="false" ht="15" hidden="false" customHeight="false" outlineLevel="0" collapsed="false">
      <c r="A2" s="1" t="s">
        <v>236</v>
      </c>
      <c r="B2" s="25" t="s">
        <v>237</v>
      </c>
      <c r="C2" s="1" t="s">
        <v>238</v>
      </c>
      <c r="D2" s="1" t="s">
        <v>239</v>
      </c>
    </row>
    <row r="3" customFormat="false" ht="37.5" hidden="false" customHeight="true" outlineLevel="0" collapsed="false">
      <c r="A3" s="26" t="s">
        <v>240</v>
      </c>
      <c r="B3" s="9" t="s">
        <v>241</v>
      </c>
      <c r="C3" s="9" t="s">
        <v>242</v>
      </c>
      <c r="D3" s="10" t="s">
        <v>243</v>
      </c>
    </row>
    <row r="4" customFormat="false" ht="37.5" hidden="false" customHeight="true" outlineLevel="0" collapsed="false">
      <c r="A4" s="27" t="s">
        <v>244</v>
      </c>
      <c r="B4" s="12" t="s">
        <v>245</v>
      </c>
      <c r="C4" s="13" t="s">
        <v>246</v>
      </c>
      <c r="D4" s="13" t="s">
        <v>247</v>
      </c>
    </row>
    <row r="5" customFormat="false" ht="37.5" hidden="false" customHeight="true" outlineLevel="0" collapsed="false">
      <c r="A5" s="28" t="s">
        <v>248</v>
      </c>
      <c r="B5" s="9" t="s">
        <v>249</v>
      </c>
      <c r="C5" s="10" t="s">
        <v>250</v>
      </c>
      <c r="D5" s="10" t="s">
        <v>251</v>
      </c>
    </row>
    <row r="6" customFormat="false" ht="37.5" hidden="false" customHeight="true" outlineLevel="0" collapsed="false">
      <c r="A6" s="29" t="s">
        <v>252</v>
      </c>
      <c r="B6" s="12" t="s">
        <v>241</v>
      </c>
      <c r="C6" s="12" t="s">
        <v>253</v>
      </c>
      <c r="D6" s="12" t="s">
        <v>254</v>
      </c>
    </row>
    <row r="7" customFormat="false" ht="37.5" hidden="false" customHeight="true" outlineLevel="0" collapsed="false">
      <c r="A7" s="28" t="s">
        <v>255</v>
      </c>
      <c r="B7" s="9" t="s">
        <v>249</v>
      </c>
      <c r="C7" s="10" t="s">
        <v>256</v>
      </c>
      <c r="D7" s="10"/>
    </row>
    <row r="8" customFormat="false" ht="37.5" hidden="false" customHeight="true" outlineLevel="0" collapsed="false">
      <c r="A8" s="29" t="s">
        <v>257</v>
      </c>
      <c r="B8" s="12" t="s">
        <v>249</v>
      </c>
      <c r="C8" s="13" t="s">
        <v>258</v>
      </c>
      <c r="D8" s="12" t="s">
        <v>259</v>
      </c>
    </row>
    <row r="9" customFormat="false" ht="37.5" hidden="false" customHeight="true" outlineLevel="0" collapsed="false">
      <c r="A9" s="26" t="s">
        <v>260</v>
      </c>
      <c r="B9" s="9" t="s">
        <v>241</v>
      </c>
      <c r="C9" s="9" t="s">
        <v>261</v>
      </c>
      <c r="D9" s="10" t="s">
        <v>262</v>
      </c>
    </row>
    <row r="11" customFormat="false" ht="19.4" hidden="false" customHeight="false" outlineLevel="0" collapsed="false">
      <c r="A11" s="24" t="s">
        <v>263</v>
      </c>
    </row>
    <row r="12" customFormat="false" ht="15" hidden="false" customHeight="false" outlineLevel="0" collapsed="false">
      <c r="A12" s="1" t="s">
        <v>264</v>
      </c>
      <c r="B12" s="1" t="s">
        <v>265</v>
      </c>
    </row>
    <row r="13" customFormat="false" ht="30" hidden="false" customHeight="true" outlineLevel="0" collapsed="false">
      <c r="A13" s="26" t="s">
        <v>266</v>
      </c>
      <c r="B13" s="10" t="s">
        <v>267</v>
      </c>
    </row>
    <row r="14" customFormat="false" ht="30" hidden="false" customHeight="true" outlineLevel="0" collapsed="false">
      <c r="A14" s="29" t="s">
        <v>268</v>
      </c>
      <c r="B14" s="13" t="s">
        <v>269</v>
      </c>
    </row>
    <row r="15" customFormat="false" ht="30" hidden="false" customHeight="true" outlineLevel="0" collapsed="false">
      <c r="A15" s="26" t="s">
        <v>270</v>
      </c>
      <c r="B15" s="10" t="s">
        <v>271</v>
      </c>
    </row>
    <row r="16" customFormat="false" ht="30" hidden="false" customHeight="true" outlineLevel="0" collapsed="false">
      <c r="A16" s="29" t="s">
        <v>272</v>
      </c>
      <c r="B16" s="13" t="s">
        <v>273</v>
      </c>
    </row>
    <row r="17" customFormat="false" ht="30" hidden="false" customHeight="true" outlineLevel="0" collapsed="false">
      <c r="A17" s="26" t="s">
        <v>274</v>
      </c>
      <c r="B17" s="10" t="s">
        <v>275</v>
      </c>
    </row>
    <row r="18" customFormat="false" ht="30" hidden="false" customHeight="true" outlineLevel="0" collapsed="false">
      <c r="A18" s="29" t="s">
        <v>276</v>
      </c>
      <c r="B18" s="13" t="s">
        <v>277</v>
      </c>
    </row>
    <row r="19" customFormat="false" ht="30" hidden="false" customHeight="true" outlineLevel="0" collapsed="false">
      <c r="A19" s="26" t="s">
        <v>278</v>
      </c>
      <c r="B19" s="10" t="s">
        <v>279</v>
      </c>
    </row>
    <row r="20" customFormat="false" ht="30" hidden="false" customHeight="true" outlineLevel="0" collapsed="false">
      <c r="A20" s="29" t="s">
        <v>280</v>
      </c>
      <c r="B20" s="13" t="s">
        <v>281</v>
      </c>
    </row>
    <row r="21" customFormat="false" ht="30" hidden="false" customHeight="true" outlineLevel="0" collapsed="false">
      <c r="A21" s="26" t="s">
        <v>282</v>
      </c>
      <c r="B21" s="9" t="s">
        <v>283</v>
      </c>
    </row>
    <row r="23" customFormat="false" ht="19.4" hidden="false" customHeight="false" outlineLevel="0" collapsed="false">
      <c r="A23" s="24" t="s">
        <v>284</v>
      </c>
    </row>
    <row r="24" customFormat="false" ht="15" hidden="false" customHeight="false" outlineLevel="0" collapsed="false">
      <c r="A24" s="1" t="s">
        <v>285</v>
      </c>
      <c r="B24" s="1" t="s">
        <v>286</v>
      </c>
      <c r="C24" s="1" t="s">
        <v>287</v>
      </c>
    </row>
    <row r="25" customFormat="false" ht="43.5" hidden="false" customHeight="true" outlineLevel="0" collapsed="false">
      <c r="A25" s="28" t="s">
        <v>288</v>
      </c>
      <c r="B25" s="10" t="s">
        <v>289</v>
      </c>
      <c r="C25" s="9" t="s">
        <v>290</v>
      </c>
    </row>
    <row r="26" customFormat="false" ht="43.5" hidden="false" customHeight="true" outlineLevel="0" collapsed="false">
      <c r="A26" s="27" t="s">
        <v>291</v>
      </c>
      <c r="B26" s="13" t="s">
        <v>292</v>
      </c>
      <c r="C26" s="12" t="s">
        <v>293</v>
      </c>
    </row>
    <row r="27" customFormat="false" ht="43.5" hidden="false" customHeight="true" outlineLevel="0" collapsed="false">
      <c r="A27" s="28" t="s">
        <v>294</v>
      </c>
      <c r="B27" s="10" t="s">
        <v>295</v>
      </c>
      <c r="C27" s="9" t="s">
        <v>296</v>
      </c>
    </row>
    <row r="28" customFormat="false" ht="43.5" hidden="false" customHeight="true" outlineLevel="0" collapsed="false">
      <c r="A28" s="27" t="s">
        <v>297</v>
      </c>
      <c r="B28" s="13" t="s">
        <v>298</v>
      </c>
      <c r="C28" s="12" t="s">
        <v>299</v>
      </c>
    </row>
    <row r="29" customFormat="false" ht="43.5" hidden="false" customHeight="true" outlineLevel="0" collapsed="false">
      <c r="A29" s="28" t="s">
        <v>300</v>
      </c>
      <c r="B29" s="9" t="s">
        <v>245</v>
      </c>
      <c r="C29" s="9" t="s">
        <v>301</v>
      </c>
    </row>
    <row r="30" customFormat="false" ht="43.5" hidden="false" customHeight="true" outlineLevel="0" collapsed="false">
      <c r="A30" s="29" t="s">
        <v>302</v>
      </c>
      <c r="B30" s="12" t="s">
        <v>303</v>
      </c>
      <c r="C30" s="12" t="s">
        <v>304</v>
      </c>
    </row>
    <row r="31" customFormat="false" ht="43.5" hidden="false" customHeight="true" outlineLevel="0" collapsed="false">
      <c r="A31" s="28" t="s">
        <v>305</v>
      </c>
      <c r="B31" s="9" t="s">
        <v>306</v>
      </c>
      <c r="C31" s="9" t="s">
        <v>307</v>
      </c>
    </row>
    <row r="33" customFormat="false" ht="19.4" hidden="false" customHeight="false" outlineLevel="0" collapsed="false">
      <c r="A33" s="24" t="s">
        <v>308</v>
      </c>
    </row>
    <row r="34" customFormat="false" ht="15" hidden="false" customHeight="false" outlineLevel="0" collapsed="false">
      <c r="A34" s="1" t="s">
        <v>236</v>
      </c>
      <c r="B34" s="25" t="s">
        <v>309</v>
      </c>
    </row>
    <row r="35" customFormat="false" ht="30" hidden="false" customHeight="true" outlineLevel="0" collapsed="false">
      <c r="A35" s="28" t="s">
        <v>310</v>
      </c>
      <c r="B35" s="9" t="s">
        <v>311</v>
      </c>
    </row>
    <row r="36" customFormat="false" ht="30" hidden="false" customHeight="true" outlineLevel="0" collapsed="false">
      <c r="A36" s="29" t="s">
        <v>312</v>
      </c>
      <c r="B36" s="12" t="s">
        <v>313</v>
      </c>
    </row>
    <row r="37" customFormat="false" ht="30" hidden="false" customHeight="true" outlineLevel="0" collapsed="false">
      <c r="A37" s="26" t="s">
        <v>314</v>
      </c>
      <c r="B37" s="9" t="s">
        <v>315</v>
      </c>
    </row>
    <row r="38" customFormat="false" ht="30" hidden="false" customHeight="true" outlineLevel="0" collapsed="false">
      <c r="A38" s="29" t="s">
        <v>316</v>
      </c>
      <c r="B38" s="12" t="s">
        <v>317</v>
      </c>
    </row>
    <row r="39" customFormat="false" ht="30" hidden="false" customHeight="true" outlineLevel="0" collapsed="false">
      <c r="A39" s="26" t="s">
        <v>318</v>
      </c>
      <c r="B39" s="10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4" min="4" style="0" width="50"/>
  </cols>
  <sheetData>
    <row r="1" customFormat="false" ht="25.5" hidden="false" customHeight="true" outlineLevel="0" collapsed="false">
      <c r="A1" s="1" t="s">
        <v>320</v>
      </c>
      <c r="B1" s="1" t="s">
        <v>171</v>
      </c>
      <c r="C1" s="1" t="s">
        <v>321</v>
      </c>
      <c r="D1" s="1" t="s">
        <v>239</v>
      </c>
    </row>
    <row r="2" customFormat="false" ht="30" hidden="false" customHeight="true" outlineLevel="0" collapsed="false">
      <c r="A2" s="27" t="s">
        <v>322</v>
      </c>
      <c r="B2" s="13" t="s">
        <v>323</v>
      </c>
      <c r="C2" s="12" t="s">
        <v>324</v>
      </c>
      <c r="D2" s="13"/>
    </row>
    <row r="3" customFormat="false" ht="30" hidden="false" customHeight="true" outlineLevel="0" collapsed="false">
      <c r="A3" s="28" t="s">
        <v>322</v>
      </c>
      <c r="B3" s="10" t="s">
        <v>325</v>
      </c>
      <c r="C3" s="9" t="s">
        <v>326</v>
      </c>
      <c r="D3" s="10"/>
    </row>
    <row r="4" customFormat="false" ht="30" hidden="false" customHeight="true" outlineLevel="0" collapsed="false">
      <c r="A4" s="27" t="s">
        <v>322</v>
      </c>
      <c r="B4" s="13" t="s">
        <v>327</v>
      </c>
      <c r="C4" s="13" t="s">
        <v>328</v>
      </c>
      <c r="D4" s="13"/>
    </row>
    <row r="5" customFormat="false" ht="30" hidden="false" customHeight="true" outlineLevel="0" collapsed="false">
      <c r="A5" s="28" t="s">
        <v>322</v>
      </c>
      <c r="B5" s="10" t="s">
        <v>329</v>
      </c>
      <c r="C5" s="10" t="s">
        <v>330</v>
      </c>
      <c r="D5" s="10" t="s">
        <v>331</v>
      </c>
    </row>
    <row r="6" customFormat="false" ht="30" hidden="false" customHeight="true" outlineLevel="0" collapsed="false">
      <c r="A6" s="27" t="s">
        <v>322</v>
      </c>
      <c r="B6" s="13" t="s">
        <v>332</v>
      </c>
      <c r="C6" s="13" t="s">
        <v>333</v>
      </c>
      <c r="D6" s="13"/>
    </row>
    <row r="7" customFormat="false" ht="30" hidden="false" customHeight="true" outlineLevel="0" collapsed="false">
      <c r="A7" s="28" t="s">
        <v>322</v>
      </c>
      <c r="B7" s="10" t="s">
        <v>334</v>
      </c>
      <c r="C7" s="9" t="s">
        <v>335</v>
      </c>
      <c r="D7" s="10"/>
    </row>
    <row r="8" customFormat="false" ht="30" hidden="false" customHeight="true" outlineLevel="0" collapsed="false">
      <c r="A8" s="27" t="s">
        <v>322</v>
      </c>
      <c r="B8" s="13" t="s">
        <v>336</v>
      </c>
      <c r="C8" s="13" t="s">
        <v>337</v>
      </c>
      <c r="D8" s="13" t="s">
        <v>338</v>
      </c>
    </row>
    <row r="9" customFormat="false" ht="30" hidden="false" customHeight="true" outlineLevel="0" collapsed="false">
      <c r="A9" s="28" t="s">
        <v>322</v>
      </c>
      <c r="B9" s="10" t="s">
        <v>339</v>
      </c>
      <c r="C9" s="10" t="s">
        <v>340</v>
      </c>
      <c r="D9" s="10" t="s">
        <v>341</v>
      </c>
    </row>
    <row r="10" customFormat="false" ht="30" hidden="false" customHeight="true" outlineLevel="0" collapsed="false">
      <c r="A10" s="29" t="s">
        <v>342</v>
      </c>
      <c r="B10" s="13" t="s">
        <v>343</v>
      </c>
      <c r="C10" s="12" t="s">
        <v>344</v>
      </c>
      <c r="D10" s="13" t="s">
        <v>345</v>
      </c>
    </row>
    <row r="11" customFormat="false" ht="30" hidden="false" customHeight="true" outlineLevel="0" collapsed="false">
      <c r="A11" s="26" t="s">
        <v>342</v>
      </c>
      <c r="B11" s="9" t="s">
        <v>346</v>
      </c>
      <c r="C11" s="9" t="s">
        <v>347</v>
      </c>
      <c r="D11" s="10"/>
    </row>
    <row r="12" customFormat="false" ht="30" hidden="false" customHeight="true" outlineLevel="0" collapsed="false">
      <c r="A12" s="29" t="s">
        <v>342</v>
      </c>
      <c r="B12" s="13" t="s">
        <v>348</v>
      </c>
      <c r="C12" s="12" t="s">
        <v>349</v>
      </c>
      <c r="D12" s="13"/>
    </row>
    <row r="13" customFormat="false" ht="30" hidden="false" customHeight="true" outlineLevel="0" collapsed="false">
      <c r="A13" s="26" t="s">
        <v>342</v>
      </c>
      <c r="B13" s="9" t="s">
        <v>350</v>
      </c>
      <c r="C13" s="9" t="s">
        <v>351</v>
      </c>
      <c r="D13" s="10"/>
    </row>
    <row r="14" customFormat="false" ht="30" hidden="false" customHeight="true" outlineLevel="0" collapsed="false">
      <c r="A14" s="29" t="s">
        <v>342</v>
      </c>
      <c r="B14" s="13" t="s">
        <v>352</v>
      </c>
      <c r="C14" s="12" t="s">
        <v>353</v>
      </c>
      <c r="D14" s="13"/>
    </row>
    <row r="15" customFormat="false" ht="30" hidden="false" customHeight="true" outlineLevel="0" collapsed="false">
      <c r="A15" s="26" t="s">
        <v>342</v>
      </c>
      <c r="B15" s="10" t="s">
        <v>354</v>
      </c>
      <c r="C15" s="9" t="s">
        <v>355</v>
      </c>
      <c r="D15" s="10"/>
    </row>
    <row r="16" customFormat="false" ht="30" hidden="false" customHeight="true" outlineLevel="0" collapsed="false">
      <c r="A16" s="29" t="s">
        <v>342</v>
      </c>
      <c r="B16" s="13" t="s">
        <v>356</v>
      </c>
      <c r="C16" s="12" t="s">
        <v>357</v>
      </c>
      <c r="D16" s="13"/>
    </row>
    <row r="17" customFormat="false" ht="30" hidden="false" customHeight="true" outlineLevel="0" collapsed="false">
      <c r="A17" s="26" t="s">
        <v>358</v>
      </c>
      <c r="B17" s="10" t="s">
        <v>359</v>
      </c>
      <c r="C17" s="9" t="s">
        <v>360</v>
      </c>
      <c r="D17" s="9" t="s">
        <v>361</v>
      </c>
    </row>
    <row r="18" customFormat="false" ht="30" hidden="false" customHeight="true" outlineLevel="0" collapsed="false">
      <c r="A18" s="29" t="s">
        <v>358</v>
      </c>
      <c r="B18" s="13" t="s">
        <v>362</v>
      </c>
      <c r="C18" s="12" t="s">
        <v>363</v>
      </c>
      <c r="D18" s="12" t="s">
        <v>364</v>
      </c>
    </row>
    <row r="19" customFormat="false" ht="30" hidden="false" customHeight="true" outlineLevel="0" collapsed="false">
      <c r="A19" s="26" t="s">
        <v>358</v>
      </c>
      <c r="B19" s="10" t="s">
        <v>365</v>
      </c>
      <c r="C19" s="9" t="s">
        <v>366</v>
      </c>
      <c r="D19" s="10" t="s">
        <v>367</v>
      </c>
    </row>
    <row r="20" customFormat="false" ht="30" hidden="false" customHeight="true" outlineLevel="0" collapsed="false">
      <c r="A20" s="29" t="s">
        <v>358</v>
      </c>
      <c r="B20" s="13" t="s">
        <v>368</v>
      </c>
      <c r="C20" s="13" t="s">
        <v>369</v>
      </c>
      <c r="D20" s="13" t="s">
        <v>370</v>
      </c>
    </row>
    <row r="21" customFormat="false" ht="30" hidden="false" customHeight="true" outlineLevel="0" collapsed="false">
      <c r="A21" s="26" t="s">
        <v>358</v>
      </c>
      <c r="B21" s="10" t="s">
        <v>371</v>
      </c>
      <c r="C21" s="9" t="s">
        <v>372</v>
      </c>
      <c r="D21" s="10" t="s">
        <v>373</v>
      </c>
    </row>
    <row r="22" customFormat="false" ht="30" hidden="false" customHeight="true" outlineLevel="0" collapsed="false">
      <c r="A22" s="29" t="s">
        <v>374</v>
      </c>
      <c r="B22" s="13" t="s">
        <v>375</v>
      </c>
      <c r="C22" s="12" t="s">
        <v>376</v>
      </c>
      <c r="D22" s="13" t="s">
        <v>377</v>
      </c>
    </row>
    <row r="23" customFormat="false" ht="30" hidden="false" customHeight="true" outlineLevel="0" collapsed="false">
      <c r="A23" s="26" t="s">
        <v>374</v>
      </c>
      <c r="B23" s="10" t="s">
        <v>378</v>
      </c>
      <c r="C23" s="9" t="s">
        <v>379</v>
      </c>
      <c r="D23" s="10" t="s">
        <v>380</v>
      </c>
    </row>
    <row r="24" customFormat="false" ht="30" hidden="false" customHeight="true" outlineLevel="0" collapsed="false">
      <c r="A24" s="29" t="s">
        <v>374</v>
      </c>
      <c r="B24" s="13" t="s">
        <v>381</v>
      </c>
      <c r="C24" s="12" t="s">
        <v>382</v>
      </c>
      <c r="D24" s="12" t="s">
        <v>383</v>
      </c>
    </row>
    <row r="25" customFormat="false" ht="30" hidden="false" customHeight="true" outlineLevel="0" collapsed="false">
      <c r="A25" s="26" t="s">
        <v>374</v>
      </c>
      <c r="B25" s="10" t="s">
        <v>384</v>
      </c>
      <c r="C25" s="9" t="s">
        <v>385</v>
      </c>
      <c r="D25" s="10" t="s">
        <v>386</v>
      </c>
    </row>
    <row r="26" customFormat="false" ht="30" hidden="false" customHeight="true" outlineLevel="0" collapsed="false">
      <c r="A26" s="29" t="s">
        <v>374</v>
      </c>
      <c r="B26" s="13" t="s">
        <v>387</v>
      </c>
      <c r="C26" s="13" t="s">
        <v>388</v>
      </c>
      <c r="D26" s="13" t="s">
        <v>389</v>
      </c>
    </row>
    <row r="27" customFormat="false" ht="30" hidden="false" customHeight="true" outlineLevel="0" collapsed="false">
      <c r="A27" s="26" t="s">
        <v>374</v>
      </c>
      <c r="B27" s="10" t="s">
        <v>390</v>
      </c>
      <c r="C27" s="9" t="s">
        <v>391</v>
      </c>
      <c r="D27" s="9" t="s">
        <v>392</v>
      </c>
    </row>
    <row r="28" customFormat="false" ht="30" hidden="false" customHeight="true" outlineLevel="0" collapsed="false">
      <c r="A28" s="29" t="s">
        <v>374</v>
      </c>
      <c r="B28" s="13" t="s">
        <v>393</v>
      </c>
      <c r="C28" s="13" t="s">
        <v>394</v>
      </c>
      <c r="D28" s="12" t="s">
        <v>395</v>
      </c>
    </row>
    <row r="29" customFormat="false" ht="30" hidden="false" customHeight="true" outlineLevel="0" collapsed="false">
      <c r="A29" s="26" t="s">
        <v>374</v>
      </c>
      <c r="B29" s="10" t="s">
        <v>396</v>
      </c>
      <c r="C29" s="9" t="s">
        <v>397</v>
      </c>
      <c r="D29" s="10" t="s">
        <v>398</v>
      </c>
    </row>
    <row r="30" customFormat="false" ht="30" hidden="false" customHeight="true" outlineLevel="0" collapsed="false">
      <c r="A30" s="29" t="s">
        <v>374</v>
      </c>
      <c r="B30" s="13" t="s">
        <v>399</v>
      </c>
      <c r="C30" s="13" t="s">
        <v>400</v>
      </c>
      <c r="D30" s="13" t="s">
        <v>401</v>
      </c>
    </row>
    <row r="31" customFormat="false" ht="30" hidden="false" customHeight="true" outlineLevel="0" collapsed="false">
      <c r="A31" s="26" t="s">
        <v>374</v>
      </c>
      <c r="B31" s="9" t="s">
        <v>402</v>
      </c>
      <c r="C31" s="9" t="s">
        <v>403</v>
      </c>
      <c r="D31" s="10" t="s">
        <v>404</v>
      </c>
    </row>
    <row r="32" customFormat="false" ht="30" hidden="false" customHeight="true" outlineLevel="0" collapsed="false">
      <c r="A32" s="29" t="s">
        <v>405</v>
      </c>
      <c r="B32" s="13" t="s">
        <v>406</v>
      </c>
      <c r="C32" s="13" t="s">
        <v>407</v>
      </c>
      <c r="D32" s="13"/>
    </row>
    <row r="33" customFormat="false" ht="30" hidden="false" customHeight="true" outlineLevel="0" collapsed="false">
      <c r="A33" s="26" t="s">
        <v>405</v>
      </c>
      <c r="B33" s="9" t="s">
        <v>408</v>
      </c>
      <c r="C33" s="10" t="s">
        <v>409</v>
      </c>
      <c r="D33" s="10" t="s">
        <v>410</v>
      </c>
    </row>
    <row r="34" customFormat="false" ht="30" hidden="false" customHeight="true" outlineLevel="0" collapsed="false">
      <c r="A34" s="29" t="s">
        <v>405</v>
      </c>
      <c r="B34" s="13" t="s">
        <v>411</v>
      </c>
      <c r="C34" s="12" t="s">
        <v>412</v>
      </c>
      <c r="D34" s="12" t="s">
        <v>413</v>
      </c>
    </row>
    <row r="35" customFormat="false" ht="30" hidden="false" customHeight="true" outlineLevel="0" collapsed="false">
      <c r="A35" s="26" t="s">
        <v>405</v>
      </c>
      <c r="B35" s="10" t="s">
        <v>414</v>
      </c>
      <c r="C35" s="10" t="s">
        <v>415</v>
      </c>
      <c r="D35" s="10" t="s">
        <v>416</v>
      </c>
    </row>
    <row r="36" customFormat="false" ht="30" hidden="false" customHeight="true" outlineLevel="0" collapsed="false">
      <c r="A36" s="29" t="s">
        <v>405</v>
      </c>
      <c r="B36" s="13" t="s">
        <v>417</v>
      </c>
      <c r="C36" s="13" t="s">
        <v>418</v>
      </c>
      <c r="D36" s="13"/>
    </row>
    <row r="37" customFormat="false" ht="30" hidden="false" customHeight="true" outlineLevel="0" collapsed="false">
      <c r="A37" s="28" t="s">
        <v>419</v>
      </c>
      <c r="B37" s="10" t="s">
        <v>420</v>
      </c>
      <c r="C37" s="9" t="s">
        <v>421</v>
      </c>
      <c r="D37" s="10"/>
    </row>
    <row r="38" customFormat="false" ht="30" hidden="false" customHeight="true" outlineLevel="0" collapsed="false">
      <c r="A38" s="27" t="s">
        <v>419</v>
      </c>
      <c r="B38" s="13" t="s">
        <v>422</v>
      </c>
      <c r="C38" s="13" t="s">
        <v>423</v>
      </c>
      <c r="D38" s="12" t="s">
        <v>190</v>
      </c>
    </row>
    <row r="39" customFormat="false" ht="30" hidden="false" customHeight="true" outlineLevel="0" collapsed="false">
      <c r="A39" s="28" t="s">
        <v>419</v>
      </c>
      <c r="B39" s="10" t="s">
        <v>424</v>
      </c>
      <c r="C39" s="10" t="s">
        <v>425</v>
      </c>
      <c r="D39" s="10"/>
    </row>
    <row r="40" customFormat="false" ht="30" hidden="false" customHeight="true" outlineLevel="0" collapsed="false">
      <c r="A40" s="27" t="s">
        <v>419</v>
      </c>
      <c r="B40" s="13" t="s">
        <v>426</v>
      </c>
      <c r="C40" s="13" t="s">
        <v>427</v>
      </c>
      <c r="D40" s="13" t="s">
        <v>428</v>
      </c>
    </row>
    <row r="41" customFormat="false" ht="30" hidden="false" customHeight="true" outlineLevel="0" collapsed="false">
      <c r="A41" s="26" t="s">
        <v>429</v>
      </c>
      <c r="B41" s="10" t="s">
        <v>430</v>
      </c>
      <c r="C41" s="9" t="s">
        <v>431</v>
      </c>
      <c r="D41" s="10" t="s">
        <v>432</v>
      </c>
    </row>
    <row r="42" customFormat="false" ht="30" hidden="false" customHeight="true" outlineLevel="0" collapsed="false">
      <c r="A42" s="29" t="s">
        <v>429</v>
      </c>
      <c r="B42" s="13" t="s">
        <v>433</v>
      </c>
      <c r="C42" s="13" t="s">
        <v>434</v>
      </c>
      <c r="D42" s="12" t="s">
        <v>435</v>
      </c>
    </row>
    <row r="43" customFormat="false" ht="30" hidden="false" customHeight="true" outlineLevel="0" collapsed="false">
      <c r="A43" s="26" t="s">
        <v>429</v>
      </c>
      <c r="B43" s="10" t="s">
        <v>436</v>
      </c>
      <c r="C43" s="9" t="s">
        <v>437</v>
      </c>
      <c r="D43" s="10" t="s">
        <v>438</v>
      </c>
    </row>
    <row r="44" customFormat="false" ht="30" hidden="false" customHeight="true" outlineLevel="0" collapsed="false">
      <c r="A44" s="29" t="s">
        <v>429</v>
      </c>
      <c r="B44" s="13" t="s">
        <v>439</v>
      </c>
      <c r="C44" s="13" t="s">
        <v>440</v>
      </c>
      <c r="D44" s="13" t="s">
        <v>441</v>
      </c>
    </row>
    <row r="45" customFormat="false" ht="30" hidden="false" customHeight="true" outlineLevel="0" collapsed="false">
      <c r="A45" s="26" t="s">
        <v>429</v>
      </c>
      <c r="B45" s="10" t="s">
        <v>442</v>
      </c>
      <c r="C45" s="9" t="s">
        <v>443</v>
      </c>
      <c r="D45" s="10" t="s">
        <v>444</v>
      </c>
    </row>
    <row r="46" customFormat="false" ht="30" hidden="false" customHeight="true" outlineLevel="0" collapsed="false">
      <c r="A46" s="29" t="s">
        <v>429</v>
      </c>
      <c r="B46" s="13" t="s">
        <v>445</v>
      </c>
      <c r="C46" s="13" t="s">
        <v>446</v>
      </c>
      <c r="D46" s="13" t="s">
        <v>447</v>
      </c>
    </row>
    <row r="47" customFormat="false" ht="30" hidden="false" customHeight="true" outlineLevel="0" collapsed="false">
      <c r="A47" s="26" t="s">
        <v>448</v>
      </c>
      <c r="B47" s="10" t="s">
        <v>449</v>
      </c>
      <c r="C47" s="9" t="s">
        <v>450</v>
      </c>
      <c r="D47" s="9" t="s">
        <v>451</v>
      </c>
    </row>
    <row r="48" customFormat="false" ht="30" hidden="false" customHeight="true" outlineLevel="0" collapsed="false">
      <c r="A48" s="29" t="s">
        <v>448</v>
      </c>
      <c r="B48" s="13" t="s">
        <v>452</v>
      </c>
      <c r="C48" s="12" t="s">
        <v>453</v>
      </c>
      <c r="D48" s="12" t="s">
        <v>224</v>
      </c>
    </row>
    <row r="49" customFormat="false" ht="30" hidden="false" customHeight="true" outlineLevel="0" collapsed="false">
      <c r="A49" s="26" t="s">
        <v>334</v>
      </c>
      <c r="B49" s="10" t="s">
        <v>454</v>
      </c>
      <c r="C49" s="10" t="s">
        <v>455</v>
      </c>
      <c r="D49" s="10" t="s">
        <v>456</v>
      </c>
    </row>
  </sheetData>
  <autoFilter ref="A1:D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6" min="4" style="0" width="44"/>
    <col collapsed="false" customWidth="true" hidden="false" outlineLevel="0" max="7" min="7" style="0" width="26"/>
  </cols>
  <sheetData>
    <row r="1" customFormat="false" ht="25.5" hidden="false" customHeight="true" outlineLevel="0" collapsed="false">
      <c r="A1" s="1" t="s">
        <v>457</v>
      </c>
      <c r="B1" s="1" t="s">
        <v>1</v>
      </c>
      <c r="C1" s="1" t="s">
        <v>26</v>
      </c>
      <c r="D1" s="1" t="s">
        <v>22</v>
      </c>
      <c r="E1" s="1" t="s">
        <v>34</v>
      </c>
      <c r="F1" s="1" t="s">
        <v>10</v>
      </c>
      <c r="G1" s="1" t="s">
        <v>27</v>
      </c>
    </row>
    <row r="2" customFormat="false" ht="48" hidden="false" customHeight="true" outlineLevel="0" collapsed="false">
      <c r="A2" s="30" t="s">
        <v>8</v>
      </c>
      <c r="B2" s="31" t="s">
        <v>9</v>
      </c>
      <c r="C2" s="32"/>
      <c r="D2" s="32" t="s">
        <v>458</v>
      </c>
      <c r="E2" s="32"/>
      <c r="F2" s="32" t="s">
        <v>459</v>
      </c>
      <c r="G2" s="32" t="s">
        <v>460</v>
      </c>
    </row>
    <row r="3" customFormat="false" ht="30" hidden="false" customHeight="true" outlineLevel="0" collapsed="false">
      <c r="A3" s="30" t="s">
        <v>30</v>
      </c>
      <c r="B3" s="31" t="s">
        <v>31</v>
      </c>
      <c r="C3" s="33" t="s">
        <v>461</v>
      </c>
      <c r="D3" s="33" t="s">
        <v>462</v>
      </c>
      <c r="E3" s="33" t="s">
        <v>463</v>
      </c>
      <c r="F3" s="33"/>
      <c r="G3" s="33"/>
    </row>
    <row r="4" customFormat="false" ht="48" hidden="false" customHeight="true" outlineLevel="0" collapsed="false">
      <c r="A4" s="30" t="s">
        <v>39</v>
      </c>
      <c r="B4" s="31" t="s">
        <v>40</v>
      </c>
      <c r="C4" s="32"/>
      <c r="D4" s="32" t="s">
        <v>464</v>
      </c>
      <c r="E4" s="32"/>
      <c r="F4" s="32" t="s">
        <v>465</v>
      </c>
      <c r="G4" s="32"/>
    </row>
    <row r="5" customFormat="false" ht="30" hidden="false" customHeight="true" outlineLevel="0" collapsed="false">
      <c r="A5" s="30" t="s">
        <v>52</v>
      </c>
      <c r="B5" s="31" t="s">
        <v>53</v>
      </c>
      <c r="C5" s="33" t="s">
        <v>466</v>
      </c>
      <c r="D5" s="33"/>
      <c r="E5" s="33" t="s">
        <v>467</v>
      </c>
      <c r="F5" s="33"/>
      <c r="G5" s="33"/>
    </row>
    <row r="6" customFormat="false" ht="31.5" hidden="false" customHeight="true" outlineLevel="0" collapsed="false">
      <c r="A6" s="30" t="s">
        <v>58</v>
      </c>
      <c r="B6" s="31" t="s">
        <v>59</v>
      </c>
      <c r="C6" s="32" t="s">
        <v>468</v>
      </c>
      <c r="D6" s="32"/>
      <c r="E6" s="32" t="s">
        <v>469</v>
      </c>
      <c r="F6" s="32" t="s">
        <v>468</v>
      </c>
      <c r="G6" s="32"/>
    </row>
    <row r="7" customFormat="false" ht="79.5" hidden="false" customHeight="true" outlineLevel="0" collapsed="false">
      <c r="A7" s="30" t="s">
        <v>66</v>
      </c>
      <c r="B7" s="31" t="s">
        <v>67</v>
      </c>
      <c r="C7" s="33"/>
      <c r="D7" s="33" t="s">
        <v>470</v>
      </c>
      <c r="E7" s="33" t="s">
        <v>471</v>
      </c>
      <c r="F7" s="33" t="s">
        <v>472</v>
      </c>
      <c r="G7" s="33"/>
    </row>
    <row r="8" customFormat="false" ht="63.75" hidden="false" customHeight="true" outlineLevel="0" collapsed="false">
      <c r="A8" s="30" t="s">
        <v>79</v>
      </c>
      <c r="B8" s="31" t="s">
        <v>80</v>
      </c>
      <c r="C8" s="32" t="s">
        <v>473</v>
      </c>
      <c r="D8" s="32"/>
      <c r="E8" s="32"/>
      <c r="F8" s="32" t="s">
        <v>474</v>
      </c>
      <c r="G8" s="32"/>
    </row>
    <row r="9" customFormat="false" ht="31.5" hidden="false" customHeight="true" outlineLevel="0" collapsed="false">
      <c r="A9" s="30" t="s">
        <v>92</v>
      </c>
      <c r="B9" s="31" t="s">
        <v>9</v>
      </c>
      <c r="C9" s="33"/>
      <c r="D9" s="33"/>
      <c r="E9" s="33" t="s">
        <v>475</v>
      </c>
      <c r="F9" s="33" t="s">
        <v>476</v>
      </c>
      <c r="G9" s="33"/>
    </row>
    <row r="10" customFormat="false" ht="30" hidden="false" customHeight="true" outlineLevel="0" collapsed="false">
      <c r="A10" s="30" t="s">
        <v>98</v>
      </c>
      <c r="B10" s="31" t="s">
        <v>31</v>
      </c>
      <c r="C10" s="32" t="s">
        <v>477</v>
      </c>
      <c r="D10" s="32"/>
      <c r="E10" s="32"/>
      <c r="F10" s="32"/>
      <c r="G10" s="32"/>
    </row>
    <row r="11" customFormat="false" ht="31.5" hidden="false" customHeight="true" outlineLevel="0" collapsed="false">
      <c r="A11" s="30" t="s">
        <v>101</v>
      </c>
      <c r="B11" s="31" t="s">
        <v>40</v>
      </c>
      <c r="C11" s="33" t="s">
        <v>478</v>
      </c>
      <c r="D11" s="33"/>
      <c r="E11" s="33" t="s">
        <v>479</v>
      </c>
      <c r="F11" s="33" t="s">
        <v>480</v>
      </c>
      <c r="G11" s="33"/>
    </row>
    <row r="12" customFormat="false" ht="30" hidden="false" customHeight="true" outlineLevel="0" collapsed="false">
      <c r="A12" s="30" t="s">
        <v>109</v>
      </c>
      <c r="B12" s="31" t="s">
        <v>53</v>
      </c>
      <c r="C12" s="32"/>
      <c r="D12" s="32"/>
      <c r="E12" s="32"/>
      <c r="F12" s="32"/>
      <c r="G12" s="32" t="s">
        <v>481</v>
      </c>
    </row>
    <row r="13" customFormat="false" ht="31.5" hidden="false" customHeight="true" outlineLevel="0" collapsed="false">
      <c r="A13" s="30" t="s">
        <v>112</v>
      </c>
      <c r="B13" s="31" t="s">
        <v>59</v>
      </c>
      <c r="C13" s="33"/>
      <c r="D13" s="33"/>
      <c r="E13" s="33" t="s">
        <v>482</v>
      </c>
      <c r="F13" s="33" t="s">
        <v>483</v>
      </c>
      <c r="G13" s="33" t="s">
        <v>484</v>
      </c>
    </row>
    <row r="14" customFormat="false" ht="30" hidden="false" customHeight="true" outlineLevel="0" collapsed="false">
      <c r="A14" s="30" t="s">
        <v>120</v>
      </c>
      <c r="B14" s="31" t="s">
        <v>67</v>
      </c>
      <c r="C14" s="32"/>
      <c r="D14" s="32"/>
      <c r="E14" s="32"/>
      <c r="F14" s="32"/>
      <c r="G14" s="32" t="s">
        <v>485</v>
      </c>
    </row>
    <row r="15" customFormat="false" ht="30" hidden="false" customHeight="true" outlineLevel="0" collapsed="false">
      <c r="A15" s="30" t="s">
        <v>486</v>
      </c>
      <c r="B15" s="31" t="s">
        <v>80</v>
      </c>
      <c r="C15" s="33"/>
      <c r="D15" s="33"/>
      <c r="E15" s="33"/>
      <c r="F15" s="33"/>
      <c r="G15" s="33"/>
    </row>
    <row r="16" customFormat="false" ht="30" hidden="false" customHeight="true" outlineLevel="0" collapsed="false">
      <c r="A16" s="30" t="s">
        <v>124</v>
      </c>
      <c r="B16" s="31" t="s">
        <v>9</v>
      </c>
      <c r="C16" s="32"/>
      <c r="D16" s="32"/>
      <c r="E16" s="32" t="s">
        <v>487</v>
      </c>
      <c r="F16" s="32"/>
      <c r="G16" s="32"/>
    </row>
    <row r="17" customFormat="false" ht="30" hidden="false" customHeight="true" outlineLevel="0" collapsed="false">
      <c r="A17" s="30" t="s">
        <v>126</v>
      </c>
      <c r="B17" s="31" t="s">
        <v>31</v>
      </c>
      <c r="C17" s="33"/>
      <c r="D17" s="33"/>
      <c r="E17" s="33"/>
      <c r="F17" s="33"/>
      <c r="G17" s="33" t="s">
        <v>488</v>
      </c>
    </row>
    <row r="18" customFormat="false" ht="30" hidden="false" customHeight="true" outlineLevel="0" collapsed="false">
      <c r="A18" s="30" t="s">
        <v>129</v>
      </c>
      <c r="B18" s="31" t="s">
        <v>40</v>
      </c>
      <c r="C18" s="32"/>
      <c r="D18" s="32"/>
      <c r="E18" s="32"/>
      <c r="F18" s="32"/>
      <c r="G18" s="32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8"/>
    <col collapsed="false" customWidth="true" hidden="false" outlineLevel="0" max="3" min="3" style="0" width="28"/>
  </cols>
  <sheetData>
    <row r="1" customFormat="false" ht="25.5" hidden="false" customHeight="true" outlineLevel="0" collapsed="false">
      <c r="A1" s="1" t="s">
        <v>490</v>
      </c>
      <c r="B1" s="1" t="s">
        <v>491</v>
      </c>
      <c r="C1" s="1" t="s">
        <v>492</v>
      </c>
    </row>
    <row r="2" customFormat="false" ht="30" hidden="false" customHeight="true" outlineLevel="0" collapsed="false">
      <c r="A2" s="29" t="s">
        <v>493</v>
      </c>
      <c r="B2" s="13" t="s">
        <v>494</v>
      </c>
      <c r="C2" s="12" t="s">
        <v>495</v>
      </c>
    </row>
    <row r="3" customFormat="false" ht="30" hidden="false" customHeight="true" outlineLevel="0" collapsed="false">
      <c r="A3" s="26" t="s">
        <v>496</v>
      </c>
      <c r="B3" s="10" t="s">
        <v>497</v>
      </c>
      <c r="C3" s="9" t="s">
        <v>498</v>
      </c>
    </row>
    <row r="4" customFormat="false" ht="30" hidden="false" customHeight="true" outlineLevel="0" collapsed="false">
      <c r="A4" s="29" t="s">
        <v>499</v>
      </c>
      <c r="B4" s="13" t="s">
        <v>500</v>
      </c>
      <c r="C4" s="12" t="s">
        <v>501</v>
      </c>
    </row>
    <row r="5" customFormat="false" ht="30" hidden="false" customHeight="true" outlineLevel="0" collapsed="false">
      <c r="A5" s="26" t="s">
        <v>502</v>
      </c>
      <c r="B5" s="10" t="s">
        <v>503</v>
      </c>
      <c r="C5" s="9" t="s">
        <v>504</v>
      </c>
    </row>
    <row r="6" customFormat="false" ht="30" hidden="false" customHeight="true" outlineLevel="0" collapsed="false">
      <c r="A6" s="29" t="s">
        <v>505</v>
      </c>
      <c r="B6" s="13" t="s">
        <v>506</v>
      </c>
      <c r="C6" s="12" t="s">
        <v>507</v>
      </c>
    </row>
    <row r="7" customFormat="false" ht="30" hidden="false" customHeight="true" outlineLevel="0" collapsed="false">
      <c r="A7" s="26" t="s">
        <v>508</v>
      </c>
      <c r="B7" s="10" t="s">
        <v>509</v>
      </c>
      <c r="C7" s="9" t="s">
        <v>510</v>
      </c>
    </row>
    <row r="8" customFormat="false" ht="30" hidden="false" customHeight="true" outlineLevel="0" collapsed="false">
      <c r="A8" s="29" t="s">
        <v>511</v>
      </c>
      <c r="B8" s="13" t="s">
        <v>512</v>
      </c>
      <c r="C8" s="12" t="s">
        <v>513</v>
      </c>
    </row>
    <row r="9" customFormat="false" ht="30" hidden="false" customHeight="true" outlineLevel="0" collapsed="false">
      <c r="A9" s="28" t="s">
        <v>514</v>
      </c>
      <c r="B9" s="10" t="s">
        <v>515</v>
      </c>
      <c r="C9" s="9" t="s">
        <v>516</v>
      </c>
    </row>
    <row r="10" customFormat="false" ht="30" hidden="false" customHeight="true" outlineLevel="0" collapsed="false">
      <c r="A10" s="29" t="s">
        <v>517</v>
      </c>
      <c r="B10" s="12" t="s">
        <v>518</v>
      </c>
      <c r="C10" s="12" t="s">
        <v>519</v>
      </c>
    </row>
    <row r="12" customFormat="false" ht="15" hidden="false" customHeight="false" outlineLevel="0" collapsed="false">
      <c r="A12" s="23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2026-08-06T22:17:59Z</dcterms:created>
  <dc:creator>openpyxl</dc:creator>
  <dc:description/>
  <dc:language>en-US</dc:language>
  <cp:lastModifiedBy/>
  <dcterms:modified xsi:type="dcterms:W3CDTF">2026-08-06T22:17:59Z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